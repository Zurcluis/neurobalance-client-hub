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6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8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9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0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11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drawings/drawing13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14.xml" ContentType="application/vnd.openxmlformats-officedocument.drawing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eLivro"/>
  <mc:AlternateContent xmlns:mc="http://schemas.openxmlformats.org/markup-compatibility/2006">
    <mc:Choice Requires="x15">
      <x15ac:absPath xmlns:x15ac="http://schemas.microsoft.com/office/spreadsheetml/2010/11/ac" url="C:\Users\Bárbara\Desktop\"/>
    </mc:Choice>
  </mc:AlternateContent>
  <xr:revisionPtr revIDLastSave="0" documentId="13_ncr:1_{C216E2ED-322F-4929-BAE2-B3C7F4EBCF6F}" xr6:coauthVersionLast="47" xr6:coauthVersionMax="47" xr10:uidLastSave="{00000000-0000-0000-0000-000000000000}"/>
  <bookViews>
    <workbookView xWindow="11424" yWindow="0" windowWidth="11712" windowHeight="12336" tabRatio="731" firstSheet="3" activeTab="10" xr2:uid="{00000000-000D-0000-FFFF-FFFF00000000}"/>
  </bookViews>
  <sheets>
    <sheet name="Painel" sheetId="25" r:id="rId1"/>
    <sheet name="Dados" sheetId="20" r:id="rId2"/>
    <sheet name="Auxiliar1" sheetId="24" state="hidden" r:id="rId3"/>
    <sheet name="1" sheetId="1" r:id="rId4"/>
    <sheet name="2" sheetId="27" r:id="rId5"/>
    <sheet name="3" sheetId="29" r:id="rId6"/>
    <sheet name="4" sheetId="30" r:id="rId7"/>
    <sheet name="5" sheetId="31" r:id="rId8"/>
    <sheet name="6" sheetId="28" r:id="rId9"/>
    <sheet name="7" sheetId="32" r:id="rId10"/>
    <sheet name="8" sheetId="33" r:id="rId11"/>
    <sheet name="9" sheetId="34" r:id="rId12"/>
    <sheet name="10" sheetId="35" r:id="rId13"/>
    <sheet name="11" sheetId="36" r:id="rId14"/>
    <sheet name="12" sheetId="37" r:id="rId15"/>
    <sheet name="Balanço" sheetId="13" r:id="rId16"/>
    <sheet name="Seg. Social Produtos" sheetId="19" state="hidden" r:id="rId17"/>
    <sheet name="Seg. Social Serviços" sheetId="14" state="hidden" r:id="rId18"/>
    <sheet name="Seg. Social" sheetId="40" r:id="rId19"/>
    <sheet name="IVA" sheetId="15" r:id="rId20"/>
    <sheet name="IRS-2024" sheetId="17" state="hidden" r:id="rId21"/>
    <sheet name="IRS-2025" sheetId="41" r:id="rId22"/>
    <sheet name="Dashboard" sheetId="26" r:id="rId23"/>
  </sheets>
  <definedNames>
    <definedName name="_xlchart.v5.8" hidden="1">Balanço!$E$4:$E$15</definedName>
    <definedName name="_xlchart.v5.9" hidden="1">Balanço!$H$4:$H$15</definedName>
    <definedName name="CategoriaTreeMap_abr">OFFSET('4'!$TR$2,0,0,COUNTA(_xlfn.ANCHORARRAY('4'!$TR$2)),2)</definedName>
    <definedName name="CategoriaTreeMap_ago">OFFSET('8'!$TR$2,0,0,COUNTA(_xlfn.ANCHORARRAY('8'!$TR$2)),2)</definedName>
    <definedName name="CategoriaTreeMap_dez">OFFSET('12'!$TR$2,0,0,COUNTA(_xlfn.ANCHORARRAY('12'!$TR$2)),2)</definedName>
    <definedName name="CategoriaTreeMap_fev">OFFSET('2'!#REF!,0,0,COUNTA(_xlfn.ANCHORARRAY('2'!#REF!)),2)</definedName>
    <definedName name="CategoriaTreeMap_jan">OFFSET('1'!#REF!,0,0,COUNTA(_xlfn.ANCHORARRAY('1'!#REF!)),2)</definedName>
    <definedName name="CategoriaTreeMap_jul">OFFSET('7'!$TR$2,0,0,COUNTA(_xlfn.ANCHORARRAY('7'!$TR$2)),2)</definedName>
    <definedName name="CategoriaTreeMap_jun">OFFSET('6'!$TR$2,0,0,COUNTA(_xlfn.ANCHORARRAY('6'!$TR$2)),2)</definedName>
    <definedName name="CategoriaTreeMap_mai">OFFSET('5'!$TR$2,0,0,COUNTA(_xlfn.ANCHORARRAY('5'!$TR$2)),2)</definedName>
    <definedName name="CategoriaTreeMap_mar">OFFSET('3'!#REF!,0,0,COUNTA(_xlfn.ANCHORARRAY('3'!#REF!)),2)</definedName>
    <definedName name="CategoriaTreeMap_nov">OFFSET('11'!$TR$2,0,0,COUNTA(_xlfn.ANCHORARRAY('11'!$TR$2)),2)</definedName>
    <definedName name="CategoriaTreeMap_out">OFFSET('10'!$TR$2,0,0,COUNTA(_xlfn.ANCHORARRAY('10'!$TR$2)),2)</definedName>
    <definedName name="CategoriaTreeMap_set">OFFSET('9'!$TR$2,0,0,COUNTA(_xlfn.ANCHORARRAY('9'!$TR$2)),2)</definedName>
    <definedName name="Filtro_Desp" localSheetId="21">TabelaDesp[Despesas]</definedName>
    <definedName name="Filtro_Desp">TabelaDesp[Despesas]</definedName>
    <definedName name="Filtro_Pag" localSheetId="21">TabelaPag[Método Pagamento]</definedName>
    <definedName name="Filtro_Pag">TabelaPag[Método Pagamento]</definedName>
    <definedName name="Produtos" localSheetId="21">TabelaProd[Produtos]</definedName>
    <definedName name="Produtos">TabelaProd[Produtos]</definedName>
    <definedName name="Serviços" localSheetId="21">TabelaServ[Serviços]</definedName>
    <definedName name="Serviços">TabelaServ[Serviços]</definedName>
    <definedName name="ValoresTreeMap_abr">OFFSET('4'!$TT$2,0,0,COUNTA(_xlfn.ANCHORARRAY('4'!$TT$2)),1)</definedName>
    <definedName name="ValoresTreeMap_ago">OFFSET('8'!$TT$2,0,0,COUNTA(_xlfn.ANCHORARRAY('8'!$TT$2)),1)</definedName>
    <definedName name="ValoresTreeMap_dez">OFFSET('12'!$TT$2,0,0,COUNTA(_xlfn.ANCHORARRAY('12'!$TT$2)),1)</definedName>
    <definedName name="ValoresTreeMap_fev">OFFSET('2'!#REF!,0,0,COUNTA(_xlfn.ANCHORARRAY('2'!#REF!)),1)</definedName>
    <definedName name="ValoresTreeMap_jan">OFFSET('1'!#REF!,0,0,COUNTA(_xlfn.ANCHORARRAY('1'!#REF!)),1)</definedName>
    <definedName name="ValoresTreeMap_jul">OFFSET('7'!$TT$2,0,0,COUNTA(_xlfn.ANCHORARRAY('7'!$TT$2)),1)</definedName>
    <definedName name="ValoresTreeMap_jun">OFFSET('6'!$TT$2,0,0,COUNTA(_xlfn.ANCHORARRAY('6'!$TT$2)),1)</definedName>
    <definedName name="ValoresTreeMap_mai">OFFSET('5'!$TT$2,0,0,COUNTA(_xlfn.ANCHORARRAY('5'!$TT$2)),1)</definedName>
    <definedName name="ValoresTreeMap_mar">OFFSET('3'!#REF!,0,0,COUNTA(_xlfn.ANCHORARRAY('3'!#REF!)),1)</definedName>
    <definedName name="ValoresTreeMap_nov">OFFSET('11'!$TT$2,0,0,COUNTA(_xlfn.ANCHORARRAY('11'!$TT$2)),1)</definedName>
    <definedName name="ValoresTreeMap_out">OFFSET('10'!$TT$2,0,0,COUNTA(_xlfn.ANCHORARRAY('10'!$TT$2)),1)</definedName>
    <definedName name="ValoresTreeMap_set">OFFSET('9'!$TT$2,0,0,COUNTA(_xlfn.ANCHORARRAY('9'!$TT$2)),1)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xEBnvC8qjoGhxWdXRr41hA/+ufjLQaaKxbUVzCsvRuA="/>
    </ext>
  </extLst>
</workbook>
</file>

<file path=xl/calcChain.xml><?xml version="1.0" encoding="utf-8"?>
<calcChain xmlns="http://schemas.openxmlformats.org/spreadsheetml/2006/main">
  <c r="J31" i="33" l="1"/>
  <c r="L31" i="33"/>
  <c r="L30" i="33"/>
  <c r="L29" i="33"/>
  <c r="L28" i="33"/>
  <c r="L27" i="33"/>
  <c r="L26" i="33"/>
  <c r="L25" i="33"/>
  <c r="L24" i="33"/>
  <c r="J74" i="37"/>
  <c r="L74" i="37" s="1"/>
  <c r="J73" i="37"/>
  <c r="L73" i="37" s="1"/>
  <c r="L71" i="37"/>
  <c r="J69" i="37"/>
  <c r="J68" i="37"/>
  <c r="L68" i="37" s="1"/>
  <c r="J67" i="37"/>
  <c r="L67" i="37" s="1"/>
  <c r="J66" i="37"/>
  <c r="L66" i="37" s="1"/>
  <c r="J65" i="37"/>
  <c r="L65" i="37" s="1"/>
  <c r="J64" i="37"/>
  <c r="J63" i="37"/>
  <c r="J62" i="37"/>
  <c r="L62" i="37" s="1"/>
  <c r="J61" i="37"/>
  <c r="L61" i="37" s="1"/>
  <c r="J60" i="37"/>
  <c r="J59" i="37"/>
  <c r="L59" i="37" s="1"/>
  <c r="J58" i="37"/>
  <c r="L58" i="37" s="1"/>
  <c r="J57" i="37"/>
  <c r="L57" i="37" s="1"/>
  <c r="L56" i="37"/>
  <c r="J55" i="37"/>
  <c r="L55" i="37" s="1"/>
  <c r="J54" i="37"/>
  <c r="L54" i="37" s="1"/>
  <c r="J53" i="37"/>
  <c r="J52" i="37"/>
  <c r="L52" i="37" s="1"/>
  <c r="J51" i="37"/>
  <c r="J50" i="37"/>
  <c r="L50" i="37" s="1"/>
  <c r="J49" i="37"/>
  <c r="L49" i="37" s="1"/>
  <c r="J48" i="37"/>
  <c r="L48" i="37" s="1"/>
  <c r="J47" i="37"/>
  <c r="L47" i="37" s="1"/>
  <c r="J46" i="37"/>
  <c r="L45" i="37"/>
  <c r="J44" i="37"/>
  <c r="L44" i="37" s="1"/>
  <c r="J43" i="37"/>
  <c r="L43" i="37" s="1"/>
  <c r="J42" i="37"/>
  <c r="K42" i="37"/>
  <c r="J41" i="37"/>
  <c r="L41" i="37" s="1"/>
  <c r="J40" i="37"/>
  <c r="L40" i="37" s="1"/>
  <c r="J39" i="37"/>
  <c r="L39" i="37" s="1"/>
  <c r="J38" i="37"/>
  <c r="L38" i="37" s="1"/>
  <c r="L37" i="37"/>
  <c r="J36" i="37"/>
  <c r="L36" i="37" s="1"/>
  <c r="J35" i="37"/>
  <c r="L35" i="37" s="1"/>
  <c r="D34" i="37"/>
  <c r="L34" i="37"/>
  <c r="J33" i="37"/>
  <c r="L33" i="37" s="1"/>
  <c r="J31" i="37"/>
  <c r="J29" i="37"/>
  <c r="J28" i="37"/>
  <c r="L28" i="37" s="1"/>
  <c r="J27" i="37"/>
  <c r="L27" i="37" s="1"/>
  <c r="J26" i="37"/>
  <c r="L26" i="37" s="1"/>
  <c r="J25" i="37"/>
  <c r="K25" i="37"/>
  <c r="L24" i="37"/>
  <c r="J23" i="37"/>
  <c r="L23" i="37" s="1"/>
  <c r="J36" i="36"/>
  <c r="L36" i="36" s="1"/>
  <c r="J35" i="36"/>
  <c r="L35" i="36" s="1"/>
  <c r="J34" i="36"/>
  <c r="J33" i="36"/>
  <c r="L33" i="36" s="1"/>
  <c r="J32" i="36"/>
  <c r="L32" i="36" s="1"/>
  <c r="L31" i="36"/>
  <c r="J30" i="36"/>
  <c r="L30" i="36" s="1"/>
  <c r="J29" i="36"/>
  <c r="L29" i="36" s="1"/>
  <c r="J28" i="36"/>
  <c r="L28" i="36" s="1"/>
  <c r="J27" i="36"/>
  <c r="J26" i="36"/>
  <c r="L26" i="36" s="1"/>
  <c r="J25" i="36"/>
  <c r="J24" i="36"/>
  <c r="L24" i="36" s="1"/>
  <c r="J23" i="36"/>
  <c r="L23" i="36" s="1"/>
  <c r="L66" i="32"/>
  <c r="L65" i="32"/>
  <c r="L64" i="32"/>
  <c r="L63" i="32"/>
  <c r="L62" i="32"/>
  <c r="L60" i="32"/>
  <c r="L59" i="32"/>
  <c r="L58" i="32"/>
  <c r="L57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0" i="32"/>
  <c r="L38" i="32"/>
  <c r="L37" i="32"/>
  <c r="L36" i="32"/>
  <c r="L35" i="32"/>
  <c r="L34" i="32"/>
  <c r="L31" i="32"/>
  <c r="L30" i="32"/>
  <c r="L29" i="32"/>
  <c r="L28" i="32"/>
  <c r="L27" i="32"/>
  <c r="L26" i="32"/>
  <c r="L25" i="32"/>
  <c r="L24" i="32"/>
  <c r="L23" i="32"/>
  <c r="W28" i="28"/>
  <c r="W27" i="28"/>
  <c r="W26" i="28"/>
  <c r="W25" i="28"/>
  <c r="W24" i="28"/>
  <c r="W23" i="28"/>
  <c r="W28" i="31"/>
  <c r="W27" i="31"/>
  <c r="W26" i="31"/>
  <c r="L39" i="28"/>
  <c r="L38" i="28"/>
  <c r="L36" i="28"/>
  <c r="L35" i="28"/>
  <c r="L34" i="28"/>
  <c r="L33" i="28"/>
  <c r="L31" i="28"/>
  <c r="L30" i="28"/>
  <c r="L29" i="28"/>
  <c r="L28" i="28"/>
  <c r="L27" i="28"/>
  <c r="L26" i="28"/>
  <c r="L25" i="28"/>
  <c r="L24" i="28"/>
  <c r="L23" i="28"/>
  <c r="W25" i="31"/>
  <c r="W24" i="31"/>
  <c r="W23" i="31"/>
  <c r="L31" i="31"/>
  <c r="L30" i="31"/>
  <c r="L29" i="31"/>
  <c r="L28" i="31"/>
  <c r="L27" i="31"/>
  <c r="L25" i="31"/>
  <c r="L24" i="31"/>
  <c r="L23" i="31"/>
  <c r="W23" i="30"/>
  <c r="L33" i="30"/>
  <c r="L32" i="30"/>
  <c r="L30" i="30"/>
  <c r="L29" i="30"/>
  <c r="L27" i="30"/>
  <c r="L25" i="30"/>
  <c r="L24" i="30"/>
  <c r="W23" i="29"/>
  <c r="L27" i="29"/>
  <c r="L26" i="29"/>
  <c r="L25" i="29"/>
  <c r="L24" i="29"/>
  <c r="L23" i="29"/>
  <c r="L31" i="27"/>
  <c r="L28" i="27"/>
  <c r="L27" i="27"/>
  <c r="L25" i="27"/>
  <c r="L24" i="27"/>
  <c r="L23" i="27"/>
  <c r="L31" i="1"/>
  <c r="L30" i="1"/>
  <c r="L28" i="1"/>
  <c r="L27" i="1"/>
  <c r="L26" i="1"/>
  <c r="L24" i="1"/>
  <c r="V17" i="37"/>
  <c r="V18" i="37"/>
  <c r="V19" i="37"/>
  <c r="V20" i="37"/>
  <c r="V21" i="37"/>
  <c r="V22" i="37"/>
  <c r="V16" i="37"/>
  <c r="V18" i="36"/>
  <c r="V19" i="36"/>
  <c r="V20" i="36"/>
  <c r="V21" i="36"/>
  <c r="V22" i="36"/>
  <c r="V17" i="35"/>
  <c r="V18" i="35"/>
  <c r="V19" i="35"/>
  <c r="V20" i="35"/>
  <c r="V21" i="35"/>
  <c r="V22" i="35"/>
  <c r="V16" i="35"/>
  <c r="V17" i="34"/>
  <c r="V18" i="34"/>
  <c r="V19" i="34"/>
  <c r="V20" i="34"/>
  <c r="V21" i="34"/>
  <c r="V22" i="34"/>
  <c r="V16" i="34"/>
  <c r="V17" i="33"/>
  <c r="V18" i="33"/>
  <c r="V19" i="33"/>
  <c r="V20" i="33"/>
  <c r="V21" i="33"/>
  <c r="V22" i="33"/>
  <c r="V16" i="33"/>
  <c r="V20" i="28"/>
  <c r="V21" i="1"/>
  <c r="V22" i="1"/>
  <c r="V19" i="32"/>
  <c r="V20" i="32"/>
  <c r="V21" i="32"/>
  <c r="V22" i="32"/>
  <c r="V18" i="32"/>
  <c r="V17" i="32"/>
  <c r="V16" i="32"/>
  <c r="V18" i="31"/>
  <c r="V16" i="30"/>
  <c r="V18" i="29"/>
  <c r="V17" i="27"/>
  <c r="V17" i="1"/>
  <c r="L16" i="1"/>
  <c r="L17" i="1"/>
  <c r="L18" i="1"/>
  <c r="L19" i="1"/>
  <c r="L20" i="1"/>
  <c r="L21" i="1"/>
  <c r="L22" i="1"/>
  <c r="AF20" i="26"/>
  <c r="AF19" i="26"/>
  <c r="AD19" i="26"/>
  <c r="Z16" i="26"/>
  <c r="AB19" i="26" s="1"/>
  <c r="C10" i="37"/>
  <c r="E10" i="37" s="1"/>
  <c r="C9" i="37"/>
  <c r="E9" i="37" s="1"/>
  <c r="I8" i="37"/>
  <c r="C8" i="37"/>
  <c r="E8" i="37" s="1"/>
  <c r="R7" i="37"/>
  <c r="I7" i="37"/>
  <c r="C7" i="37"/>
  <c r="E7" i="37" s="1"/>
  <c r="I6" i="37"/>
  <c r="C6" i="37"/>
  <c r="E6" i="37" s="1"/>
  <c r="C10" i="36"/>
  <c r="E10" i="36" s="1"/>
  <c r="C9" i="36"/>
  <c r="E9" i="36" s="1"/>
  <c r="I8" i="36"/>
  <c r="C8" i="36"/>
  <c r="E8" i="36" s="1"/>
  <c r="R7" i="36"/>
  <c r="I7" i="36"/>
  <c r="C7" i="36"/>
  <c r="E7" i="36" s="1"/>
  <c r="I6" i="36"/>
  <c r="C6" i="36"/>
  <c r="E6" i="36" s="1"/>
  <c r="R5" i="36"/>
  <c r="C10" i="35"/>
  <c r="E10" i="35" s="1"/>
  <c r="C9" i="35"/>
  <c r="E9" i="35" s="1"/>
  <c r="I8" i="35"/>
  <c r="C8" i="35"/>
  <c r="E8" i="35" s="1"/>
  <c r="R7" i="35"/>
  <c r="I7" i="35"/>
  <c r="C7" i="35"/>
  <c r="E7" i="35" s="1"/>
  <c r="I6" i="35"/>
  <c r="C6" i="35"/>
  <c r="E6" i="35" s="1"/>
  <c r="R5" i="35"/>
  <c r="C10" i="34"/>
  <c r="E10" i="34" s="1"/>
  <c r="C9" i="34"/>
  <c r="E9" i="34" s="1"/>
  <c r="I8" i="34"/>
  <c r="C8" i="34"/>
  <c r="E8" i="34" s="1"/>
  <c r="R7" i="34"/>
  <c r="O7" i="34"/>
  <c r="I7" i="34"/>
  <c r="C7" i="34"/>
  <c r="E7" i="34" s="1"/>
  <c r="I6" i="34"/>
  <c r="C6" i="34"/>
  <c r="E6" i="34" s="1"/>
  <c r="R5" i="34"/>
  <c r="C10" i="33"/>
  <c r="E10" i="33" s="1"/>
  <c r="C9" i="33"/>
  <c r="E9" i="33" s="1"/>
  <c r="I8" i="33"/>
  <c r="C8" i="33"/>
  <c r="E8" i="33" s="1"/>
  <c r="R7" i="33"/>
  <c r="I7" i="33"/>
  <c r="C7" i="33"/>
  <c r="E7" i="33" s="1"/>
  <c r="I6" i="33"/>
  <c r="C6" i="33"/>
  <c r="E6" i="33" s="1"/>
  <c r="R5" i="33"/>
  <c r="C10" i="32"/>
  <c r="E10" i="32" s="1"/>
  <c r="C9" i="32"/>
  <c r="E9" i="32" s="1"/>
  <c r="I8" i="32"/>
  <c r="C8" i="32"/>
  <c r="E8" i="32" s="1"/>
  <c r="R7" i="32"/>
  <c r="I7" i="32"/>
  <c r="C7" i="32"/>
  <c r="E7" i="32" s="1"/>
  <c r="I6" i="32"/>
  <c r="C6" i="32"/>
  <c r="E6" i="32" s="1"/>
  <c r="R5" i="32"/>
  <c r="C10" i="28"/>
  <c r="E10" i="28" s="1"/>
  <c r="C9" i="28"/>
  <c r="E9" i="28" s="1"/>
  <c r="I8" i="28"/>
  <c r="C8" i="28"/>
  <c r="E8" i="28" s="1"/>
  <c r="R7" i="28"/>
  <c r="I7" i="28"/>
  <c r="C7" i="28"/>
  <c r="E7" i="28" s="1"/>
  <c r="I6" i="28"/>
  <c r="C6" i="28"/>
  <c r="E6" i="28" s="1"/>
  <c r="R5" i="28"/>
  <c r="C10" i="31"/>
  <c r="E10" i="31" s="1"/>
  <c r="C9" i="31"/>
  <c r="E9" i="31" s="1"/>
  <c r="I8" i="31"/>
  <c r="C8" i="31"/>
  <c r="E8" i="31" s="1"/>
  <c r="I7" i="31"/>
  <c r="C7" i="31"/>
  <c r="E7" i="31" s="1"/>
  <c r="I6" i="31"/>
  <c r="C6" i="31"/>
  <c r="E6" i="31" s="1"/>
  <c r="R5" i="31"/>
  <c r="C10" i="30"/>
  <c r="E10" i="30" s="1"/>
  <c r="C9" i="30"/>
  <c r="E9" i="30" s="1"/>
  <c r="I8" i="30"/>
  <c r="C8" i="30"/>
  <c r="E8" i="30" s="1"/>
  <c r="R7" i="30"/>
  <c r="I7" i="30"/>
  <c r="C7" i="30"/>
  <c r="E7" i="30" s="1"/>
  <c r="I6" i="30"/>
  <c r="C6" i="30"/>
  <c r="E6" i="30" s="1"/>
  <c r="R5" i="30"/>
  <c r="L72" i="37" l="1"/>
  <c r="L70" i="37"/>
  <c r="L69" i="37"/>
  <c r="L63" i="37"/>
  <c r="L60" i="37"/>
  <c r="L53" i="37"/>
  <c r="L51" i="37"/>
  <c r="L46" i="37"/>
  <c r="R5" i="37" s="1"/>
  <c r="L42" i="37"/>
  <c r="L32" i="37"/>
  <c r="L31" i="37"/>
  <c r="L30" i="37"/>
  <c r="L29" i="37"/>
  <c r="L34" i="36"/>
  <c r="L27" i="36"/>
  <c r="L25" i="36"/>
  <c r="L61" i="32"/>
  <c r="L56" i="32"/>
  <c r="L55" i="32"/>
  <c r="L41" i="32"/>
  <c r="L39" i="32"/>
  <c r="L33" i="32"/>
  <c r="L32" i="32"/>
  <c r="L40" i="28"/>
  <c r="L37" i="28"/>
  <c r="L32" i="28"/>
  <c r="L26" i="31"/>
  <c r="L31" i="30"/>
  <c r="L26" i="30"/>
  <c r="L23" i="30"/>
  <c r="L28" i="29"/>
  <c r="L30" i="27"/>
  <c r="L29" i="27"/>
  <c r="L29" i="1"/>
  <c r="L25" i="1"/>
  <c r="L23" i="1"/>
  <c r="E5" i="37"/>
  <c r="I5" i="36"/>
  <c r="I5" i="37"/>
  <c r="E5" i="36"/>
  <c r="I5" i="34"/>
  <c r="I5" i="35"/>
  <c r="E5" i="35"/>
  <c r="E5" i="33"/>
  <c r="E5" i="34"/>
  <c r="I5" i="32"/>
  <c r="I5" i="33"/>
  <c r="I5" i="28"/>
  <c r="E5" i="32"/>
  <c r="E5" i="28"/>
  <c r="I5" i="31"/>
  <c r="E5" i="31"/>
  <c r="I5" i="30"/>
  <c r="E5" i="30"/>
  <c r="C10" i="29"/>
  <c r="E10" i="29" s="1"/>
  <c r="C9" i="29"/>
  <c r="E9" i="29" s="1"/>
  <c r="I8" i="29"/>
  <c r="C8" i="29"/>
  <c r="E8" i="29" s="1"/>
  <c r="R7" i="29"/>
  <c r="I7" i="29"/>
  <c r="C7" i="29"/>
  <c r="E7" i="29" s="1"/>
  <c r="I6" i="29"/>
  <c r="C6" i="29"/>
  <c r="E6" i="29" s="1"/>
  <c r="R5" i="29"/>
  <c r="C10" i="27"/>
  <c r="E10" i="27" s="1"/>
  <c r="C9" i="27"/>
  <c r="E9" i="27" s="1"/>
  <c r="I8" i="27"/>
  <c r="C8" i="27"/>
  <c r="E8" i="27" s="1"/>
  <c r="R7" i="27"/>
  <c r="I7" i="27"/>
  <c r="C7" i="27"/>
  <c r="E7" i="27" s="1"/>
  <c r="I6" i="27"/>
  <c r="C6" i="27"/>
  <c r="E6" i="27" s="1"/>
  <c r="R5" i="27"/>
  <c r="I8" i="1"/>
  <c r="I7" i="1"/>
  <c r="I6" i="1"/>
  <c r="C7" i="1"/>
  <c r="E7" i="1" s="1"/>
  <c r="C8" i="1"/>
  <c r="E8" i="1" s="1"/>
  <c r="C6" i="1"/>
  <c r="E6" i="1" s="1"/>
  <c r="C10" i="1"/>
  <c r="E10" i="1" s="1"/>
  <c r="C9" i="1"/>
  <c r="E9" i="1" s="1"/>
  <c r="J21" i="37"/>
  <c r="J20" i="37"/>
  <c r="K21" i="34"/>
  <c r="J21" i="34"/>
  <c r="K20" i="34"/>
  <c r="J20" i="34"/>
  <c r="K19" i="34"/>
  <c r="J19" i="34"/>
  <c r="L19" i="28"/>
  <c r="L22" i="27"/>
  <c r="L20" i="27"/>
  <c r="F4" i="13" a="1"/>
  <c r="F4" i="13" s="1"/>
  <c r="F12" i="41"/>
  <c r="F13" i="41" s="1"/>
  <c r="B34" i="24"/>
  <c r="B35" i="24"/>
  <c r="B36" i="24"/>
  <c r="B37" i="24"/>
  <c r="B38" i="24"/>
  <c r="B39" i="24"/>
  <c r="B40" i="24"/>
  <c r="B33" i="24"/>
  <c r="C23" i="41"/>
  <c r="E4" i="41" a="1"/>
  <c r="E4" i="41" s="1"/>
  <c r="F4" i="41" s="1" a="1"/>
  <c r="F4" i="41" s="1"/>
  <c r="J18" i="37"/>
  <c r="J17" i="37"/>
  <c r="J22" i="36"/>
  <c r="J21" i="36"/>
  <c r="J20" i="36"/>
  <c r="J19" i="36"/>
  <c r="J18" i="36"/>
  <c r="K22" i="35"/>
  <c r="J22" i="35"/>
  <c r="K21" i="35"/>
  <c r="J21" i="35"/>
  <c r="K20" i="35"/>
  <c r="J20" i="35"/>
  <c r="K19" i="35"/>
  <c r="J19" i="35"/>
  <c r="K18" i="35"/>
  <c r="J18" i="35"/>
  <c r="K17" i="35"/>
  <c r="J17" i="35"/>
  <c r="K16" i="35"/>
  <c r="J16" i="35"/>
  <c r="J17" i="34"/>
  <c r="K17" i="34"/>
  <c r="J18" i="34"/>
  <c r="K18" i="34"/>
  <c r="J22" i="34"/>
  <c r="K22" i="34"/>
  <c r="K16" i="34"/>
  <c r="J16" i="34"/>
  <c r="TR2" i="30" a="1"/>
  <c r="TR2" i="30" s="1"/>
  <c r="L21" i="37" l="1"/>
  <c r="L21" i="34"/>
  <c r="L19" i="34"/>
  <c r="L20" i="34"/>
  <c r="I10" i="36"/>
  <c r="I10" i="37"/>
  <c r="I10" i="35"/>
  <c r="I10" i="34"/>
  <c r="I10" i="33"/>
  <c r="I10" i="32"/>
  <c r="I10" i="28"/>
  <c r="I10" i="31"/>
  <c r="I10" i="30"/>
  <c r="E5" i="27"/>
  <c r="I5" i="29"/>
  <c r="E5" i="29"/>
  <c r="I5" i="27"/>
  <c r="L20" i="28"/>
  <c r="L21" i="28"/>
  <c r="L22" i="28"/>
  <c r="L21" i="27"/>
  <c r="I5" i="1"/>
  <c r="E5" i="1"/>
  <c r="L19" i="37"/>
  <c r="L20" i="37"/>
  <c r="L19" i="27"/>
  <c r="TV2" i="30" a="1"/>
  <c r="TV2" i="30" s="1"/>
  <c r="TT2" i="30" a="1"/>
  <c r="TT2" i="30" s="1"/>
  <c r="TX2" i="30" s="1" a="1"/>
  <c r="TX2" i="30" s="1"/>
  <c r="AC16" i="26"/>
  <c r="W22" i="37"/>
  <c r="W21" i="37"/>
  <c r="W20" i="37"/>
  <c r="W19" i="37"/>
  <c r="W22" i="36"/>
  <c r="W21" i="36"/>
  <c r="W20" i="36"/>
  <c r="W19" i="36"/>
  <c r="L22" i="36"/>
  <c r="L21" i="36"/>
  <c r="L20" i="36"/>
  <c r="L19" i="36"/>
  <c r="W22" i="35"/>
  <c r="W21" i="35"/>
  <c r="W20" i="35"/>
  <c r="W19" i="35"/>
  <c r="L22" i="35"/>
  <c r="L21" i="35"/>
  <c r="L20" i="35"/>
  <c r="L19" i="35"/>
  <c r="W22" i="34"/>
  <c r="W21" i="34"/>
  <c r="W20" i="34"/>
  <c r="W19" i="34"/>
  <c r="L22" i="34"/>
  <c r="W22" i="33"/>
  <c r="W21" i="33"/>
  <c r="W20" i="33"/>
  <c r="W19" i="33"/>
  <c r="L22" i="33"/>
  <c r="L21" i="33"/>
  <c r="L20" i="33"/>
  <c r="L19" i="33"/>
  <c r="W22" i="32"/>
  <c r="W21" i="32"/>
  <c r="W20" i="32"/>
  <c r="W19" i="32"/>
  <c r="L22" i="32"/>
  <c r="L21" i="32"/>
  <c r="L20" i="32"/>
  <c r="L19" i="32"/>
  <c r="W22" i="28"/>
  <c r="W21" i="28"/>
  <c r="W20" i="28"/>
  <c r="W19" i="28"/>
  <c r="W22" i="31"/>
  <c r="W21" i="31"/>
  <c r="W20" i="31"/>
  <c r="L22" i="31"/>
  <c r="L21" i="31"/>
  <c r="L20" i="31"/>
  <c r="L19" i="31"/>
  <c r="W22" i="30"/>
  <c r="W20" i="30"/>
  <c r="W19" i="30"/>
  <c r="L22" i="30"/>
  <c r="L21" i="30"/>
  <c r="L20" i="30"/>
  <c r="L19" i="30"/>
  <c r="W22" i="29"/>
  <c r="W21" i="29"/>
  <c r="W20" i="29"/>
  <c r="W19" i="29"/>
  <c r="L22" i="29"/>
  <c r="L21" i="29"/>
  <c r="L20" i="29"/>
  <c r="L19" i="29"/>
  <c r="W22" i="1"/>
  <c r="W21" i="1"/>
  <c r="AB2" i="26" a="1"/>
  <c r="AB3" i="26" a="1"/>
  <c r="AB2" i="26" l="1"/>
  <c r="AB3" i="26"/>
  <c r="I10" i="27"/>
  <c r="I10" i="29"/>
  <c r="I10" i="1"/>
  <c r="J14" i="13" a="1"/>
  <c r="J14" i="13" s="1"/>
  <c r="P7" i="15" a="1"/>
  <c r="P7" i="15" s="1"/>
  <c r="P6" i="15" a="1"/>
  <c r="P6" i="15" s="1"/>
  <c r="P5" i="15" a="1"/>
  <c r="P5" i="15" s="1"/>
  <c r="L7" i="15" a="1"/>
  <c r="L7" i="15" s="1"/>
  <c r="L6" i="15" a="1"/>
  <c r="L6" i="15" s="1"/>
  <c r="AB6" i="26" s="1"/>
  <c r="L5" i="15" a="1"/>
  <c r="L5" i="15" s="1"/>
  <c r="H7" i="15" a="1"/>
  <c r="H7" i="15" s="1"/>
  <c r="H6" i="15" a="1"/>
  <c r="H6" i="15" s="1"/>
  <c r="H5" i="15" a="1"/>
  <c r="H5" i="15" s="1"/>
  <c r="D7" i="15" a="1"/>
  <c r="D7" i="15" s="1"/>
  <c r="D6" i="15" a="1"/>
  <c r="D6" i="15" s="1"/>
  <c r="D5" i="15" a="1"/>
  <c r="D5" i="15" s="1"/>
  <c r="G14" i="13" l="1" a="1"/>
  <c r="G14" i="13" s="1"/>
  <c r="F14" i="13" a="1"/>
  <c r="F14" i="13" s="1"/>
  <c r="AF3" i="26"/>
  <c r="C23" i="17"/>
  <c r="F12" i="17"/>
  <c r="F13" i="17" s="1"/>
  <c r="E4" i="17" l="1" a="1"/>
  <c r="E4" i="17" s="1"/>
  <c r="F4" i="17" s="1" a="1"/>
  <c r="F4" i="17" s="1"/>
  <c r="L18" i="37"/>
  <c r="L18" i="36"/>
  <c r="L16" i="36"/>
  <c r="L17" i="35"/>
  <c r="O5" i="15" a="1"/>
  <c r="O5" i="15" s="1"/>
  <c r="L18" i="34"/>
  <c r="L16" i="34"/>
  <c r="L18" i="33"/>
  <c r="L16" i="32"/>
  <c r="L18" i="32"/>
  <c r="L16" i="28"/>
  <c r="L17" i="28"/>
  <c r="L18" i="28"/>
  <c r="L16" i="31"/>
  <c r="L17" i="31"/>
  <c r="L18" i="31"/>
  <c r="L18" i="30"/>
  <c r="L16" i="29"/>
  <c r="L18" i="29"/>
  <c r="L17" i="27"/>
  <c r="J15" i="13" a="1"/>
  <c r="J15" i="13" s="1"/>
  <c r="J13" i="13" a="1"/>
  <c r="J13" i="13" s="1"/>
  <c r="J12" i="13" a="1"/>
  <c r="J12" i="13" s="1"/>
  <c r="J11" i="13" a="1"/>
  <c r="J11" i="13" s="1"/>
  <c r="J10" i="13" a="1"/>
  <c r="J10" i="13" s="1"/>
  <c r="J9" i="13" a="1"/>
  <c r="J9" i="13" s="1"/>
  <c r="J8" i="13" a="1"/>
  <c r="J8" i="13" s="1"/>
  <c r="J7" i="13" a="1"/>
  <c r="J7" i="13" s="1"/>
  <c r="J6" i="13" a="1"/>
  <c r="J6" i="13" s="1"/>
  <c r="J5" i="13" a="1"/>
  <c r="J5" i="13" s="1"/>
  <c r="J4" i="13" a="1"/>
  <c r="J4" i="13" s="1"/>
  <c r="G15" i="13" a="1"/>
  <c r="G15" i="13" s="1"/>
  <c r="G13" i="13" a="1"/>
  <c r="G13" i="13" s="1"/>
  <c r="G12" i="13" a="1"/>
  <c r="G12" i="13" s="1"/>
  <c r="G11" i="13" a="1"/>
  <c r="G11" i="13" s="1"/>
  <c r="G10" i="13" a="1"/>
  <c r="G10" i="13" s="1"/>
  <c r="G9" i="13" a="1"/>
  <c r="G9" i="13" s="1"/>
  <c r="G8" i="13" a="1"/>
  <c r="G8" i="13" s="1"/>
  <c r="G7" i="13" a="1"/>
  <c r="G7" i="13" s="1"/>
  <c r="G6" i="13" a="1"/>
  <c r="G6" i="13" s="1"/>
  <c r="G5" i="13" a="1"/>
  <c r="G5" i="13" s="1"/>
  <c r="G4" i="13" a="1"/>
  <c r="G4" i="13" s="1"/>
  <c r="F15" i="13" a="1"/>
  <c r="F15" i="13" s="1"/>
  <c r="F13" i="13" a="1"/>
  <c r="F13" i="13" s="1"/>
  <c r="F12" i="13" a="1"/>
  <c r="F12" i="13" s="1"/>
  <c r="F11" i="13" a="1"/>
  <c r="F11" i="13" s="1"/>
  <c r="F10" i="13" a="1"/>
  <c r="F10" i="13" s="1"/>
  <c r="F9" i="13" a="1"/>
  <c r="F9" i="13" s="1"/>
  <c r="F8" i="13" a="1"/>
  <c r="F8" i="13" s="1"/>
  <c r="F7" i="13" a="1"/>
  <c r="F7" i="13" s="1"/>
  <c r="F6" i="13" a="1"/>
  <c r="F6" i="13" s="1"/>
  <c r="F5" i="13" a="1"/>
  <c r="F5" i="13" s="1"/>
  <c r="L7" i="14" a="1"/>
  <c r="L7" i="14" s="1"/>
  <c r="L6" i="14" a="1"/>
  <c r="L6" i="14" s="1"/>
  <c r="L5" i="14" a="1"/>
  <c r="L5" i="14" s="1"/>
  <c r="I7" i="14" a="1"/>
  <c r="I7" i="14" s="1"/>
  <c r="I6" i="14" a="1"/>
  <c r="I6" i="14" s="1"/>
  <c r="I5" i="14" a="1"/>
  <c r="I5" i="14" s="1"/>
  <c r="F7" i="14" a="1"/>
  <c r="F7" i="14" s="1"/>
  <c r="F6" i="14" a="1"/>
  <c r="F6" i="14" s="1"/>
  <c r="F5" i="14" a="1"/>
  <c r="F5" i="14" s="1"/>
  <c r="C7" i="14" a="1"/>
  <c r="C7" i="14" s="1"/>
  <c r="C6" i="14" a="1"/>
  <c r="C6" i="14" s="1"/>
  <c r="L7" i="19" a="1"/>
  <c r="L7" i="19" s="1"/>
  <c r="L6" i="19" a="1"/>
  <c r="L6" i="19" s="1"/>
  <c r="L5" i="19" a="1"/>
  <c r="L5" i="19" s="1"/>
  <c r="I7" i="19" a="1"/>
  <c r="I7" i="19" s="1"/>
  <c r="I6" i="19" a="1"/>
  <c r="I6" i="19" s="1"/>
  <c r="I5" i="19" a="1"/>
  <c r="I5" i="19" s="1"/>
  <c r="F7" i="19" a="1"/>
  <c r="F7" i="19" s="1"/>
  <c r="F6" i="19" a="1"/>
  <c r="F6" i="19" s="1"/>
  <c r="F5" i="19" a="1"/>
  <c r="F5" i="19" s="1"/>
  <c r="C7" i="19" a="1"/>
  <c r="C7" i="19" s="1"/>
  <c r="C6" i="19" a="1"/>
  <c r="C6" i="19" s="1"/>
  <c r="K14" i="40"/>
  <c r="H14" i="40"/>
  <c r="E14" i="40"/>
  <c r="B14" i="40"/>
  <c r="K13" i="40"/>
  <c r="H13" i="40"/>
  <c r="E13" i="40"/>
  <c r="B13" i="40"/>
  <c r="K12" i="40"/>
  <c r="H12" i="40"/>
  <c r="E12" i="40"/>
  <c r="B12" i="40"/>
  <c r="K9" i="40"/>
  <c r="H9" i="40"/>
  <c r="E9" i="40"/>
  <c r="B9" i="40"/>
  <c r="C5" i="19" a="1"/>
  <c r="C5" i="19" s="1"/>
  <c r="C5" i="14" a="1"/>
  <c r="C5" i="14" s="1"/>
  <c r="W18" i="37"/>
  <c r="W17" i="37"/>
  <c r="W16" i="37"/>
  <c r="O7" i="37" s="1"/>
  <c r="V14" i="37"/>
  <c r="U14" i="37"/>
  <c r="I14" i="37"/>
  <c r="W18" i="36"/>
  <c r="W17" i="36"/>
  <c r="O7" i="36" s="1"/>
  <c r="K14" i="36"/>
  <c r="V14" i="36"/>
  <c r="U14" i="36"/>
  <c r="I14" i="36"/>
  <c r="W18" i="35"/>
  <c r="W17" i="35"/>
  <c r="L18" i="35"/>
  <c r="W16" i="35"/>
  <c r="O7" i="35" s="1"/>
  <c r="V14" i="35"/>
  <c r="U14" i="35"/>
  <c r="I14" i="35"/>
  <c r="W18" i="34"/>
  <c r="W17" i="34"/>
  <c r="W16" i="34"/>
  <c r="K14" i="34"/>
  <c r="V14" i="34"/>
  <c r="U14" i="34"/>
  <c r="I14" i="34"/>
  <c r="W18" i="33"/>
  <c r="W17" i="33"/>
  <c r="W16" i="33"/>
  <c r="O7" i="33" s="1"/>
  <c r="V14" i="33"/>
  <c r="U14" i="33"/>
  <c r="I14" i="33"/>
  <c r="W18" i="32"/>
  <c r="W17" i="32"/>
  <c r="W16" i="32"/>
  <c r="O7" i="32" s="1"/>
  <c r="V14" i="32"/>
  <c r="U14" i="32"/>
  <c r="I14" i="32"/>
  <c r="W18" i="31"/>
  <c r="W17" i="31"/>
  <c r="W16" i="31"/>
  <c r="O7" i="31" s="1"/>
  <c r="V14" i="31"/>
  <c r="U14" i="31"/>
  <c r="I14" i="31"/>
  <c r="W16" i="30"/>
  <c r="O7" i="30" s="1"/>
  <c r="V14" i="30"/>
  <c r="U14" i="30"/>
  <c r="I14" i="30"/>
  <c r="W18" i="29"/>
  <c r="W17" i="29"/>
  <c r="V14" i="29"/>
  <c r="U14" i="29"/>
  <c r="I14" i="29"/>
  <c r="W18" i="28"/>
  <c r="W17" i="28"/>
  <c r="W16" i="28"/>
  <c r="V14" i="28"/>
  <c r="U14" i="28"/>
  <c r="I14" i="28"/>
  <c r="W17" i="27"/>
  <c r="O7" i="27"/>
  <c r="V14" i="27"/>
  <c r="U14" i="27"/>
  <c r="I14" i="27"/>
  <c r="V14" i="1"/>
  <c r="U14" i="1"/>
  <c r="W17" i="1"/>
  <c r="O7" i="1" s="1"/>
  <c r="R7" i="1"/>
  <c r="I14" i="1"/>
  <c r="O7" i="29" l="1"/>
  <c r="O7" i="28"/>
  <c r="O5" i="28"/>
  <c r="R7" i="31"/>
  <c r="O5" i="31"/>
  <c r="C5" i="40"/>
  <c r="AF2" i="26"/>
  <c r="AB16" i="26"/>
  <c r="O7" i="15" a="1"/>
  <c r="O7" i="15" s="1"/>
  <c r="J14" i="36"/>
  <c r="U5" i="36" s="1"/>
  <c r="J14" i="33"/>
  <c r="U5" i="33" s="1"/>
  <c r="G5" i="15" a="1"/>
  <c r="G5" i="15" s="1"/>
  <c r="J14" i="29"/>
  <c r="U5" i="29" s="1"/>
  <c r="C7" i="15" a="1"/>
  <c r="C7" i="15" s="1"/>
  <c r="L16" i="27"/>
  <c r="J14" i="35"/>
  <c r="U5" i="35" s="1"/>
  <c r="L16" i="33"/>
  <c r="J14" i="32"/>
  <c r="U5" i="32" s="1"/>
  <c r="K5" i="15" a="1"/>
  <c r="K5" i="15" s="1"/>
  <c r="G6" i="15" a="1"/>
  <c r="G6" i="15" s="1"/>
  <c r="J14" i="31"/>
  <c r="U5" i="31" s="1"/>
  <c r="J14" i="30"/>
  <c r="U5" i="30" s="1"/>
  <c r="L16" i="30"/>
  <c r="J14" i="37"/>
  <c r="U5" i="37" s="1"/>
  <c r="O6" i="15" a="1"/>
  <c r="O6" i="15" s="1"/>
  <c r="K7" i="15" a="1"/>
  <c r="K7" i="15" s="1"/>
  <c r="K6" i="15" a="1"/>
  <c r="K6" i="15" s="1"/>
  <c r="AB5" i="26" s="1"/>
  <c r="AB7" i="26" s="1"/>
  <c r="J14" i="28"/>
  <c r="U5" i="28" s="1"/>
  <c r="G7" i="15" a="1"/>
  <c r="G7" i="15" s="1"/>
  <c r="J14" i="27"/>
  <c r="U5" i="27" s="1"/>
  <c r="C6" i="15" a="1"/>
  <c r="C6" i="15" s="1"/>
  <c r="AF4" i="26"/>
  <c r="J14" i="1"/>
  <c r="U5" i="1" s="1"/>
  <c r="AF5" i="26"/>
  <c r="L16" i="37"/>
  <c r="L16" i="35"/>
  <c r="J14" i="34"/>
  <c r="U5" i="34" s="1"/>
  <c r="L18" i="27"/>
  <c r="C5" i="15" a="1"/>
  <c r="C5" i="15" s="1"/>
  <c r="L7" i="40"/>
  <c r="W14" i="37"/>
  <c r="M7" i="37" s="1"/>
  <c r="L17" i="36"/>
  <c r="W14" i="35"/>
  <c r="M7" i="35" s="1"/>
  <c r="K14" i="35"/>
  <c r="W14" i="34"/>
  <c r="M7" i="34" s="1"/>
  <c r="K14" i="33"/>
  <c r="K14" i="32"/>
  <c r="K14" i="28"/>
  <c r="W14" i="28"/>
  <c r="M7" i="28" s="1"/>
  <c r="W14" i="31"/>
  <c r="M7" i="31" s="1"/>
  <c r="K14" i="30"/>
  <c r="W14" i="29"/>
  <c r="M7" i="29" s="1"/>
  <c r="K14" i="29"/>
  <c r="W14" i="27"/>
  <c r="M7" i="27" s="1"/>
  <c r="K14" i="37"/>
  <c r="W14" i="36"/>
  <c r="M7" i="36" s="1"/>
  <c r="W14" i="33"/>
  <c r="M7" i="33" s="1"/>
  <c r="W14" i="32"/>
  <c r="M7" i="32" s="1"/>
  <c r="W14" i="30"/>
  <c r="M7" i="30" s="1"/>
  <c r="C6" i="40"/>
  <c r="L6" i="40"/>
  <c r="F6" i="40"/>
  <c r="I7" i="40"/>
  <c r="C7" i="40"/>
  <c r="W14" i="1"/>
  <c r="M7" i="1" s="1"/>
  <c r="F5" i="40"/>
  <c r="I5" i="40"/>
  <c r="F7" i="40"/>
  <c r="I6" i="40"/>
  <c r="L5" i="40"/>
  <c r="L17" i="37"/>
  <c r="L17" i="34"/>
  <c r="L17" i="33"/>
  <c r="L17" i="32"/>
  <c r="L14" i="31"/>
  <c r="M5" i="31" s="1"/>
  <c r="K14" i="31"/>
  <c r="L17" i="30"/>
  <c r="L17" i="29"/>
  <c r="L14" i="28"/>
  <c r="M5" i="28" s="1"/>
  <c r="K14" i="27"/>
  <c r="O5" i="37" l="1"/>
  <c r="L14" i="36"/>
  <c r="M5" i="36" s="1"/>
  <c r="O5" i="36"/>
  <c r="L14" i="35"/>
  <c r="M5" i="35" s="1"/>
  <c r="O5" i="35"/>
  <c r="L14" i="34"/>
  <c r="M5" i="34" s="1"/>
  <c r="O5" i="34"/>
  <c r="O5" i="33"/>
  <c r="L14" i="32"/>
  <c r="M5" i="32" s="1"/>
  <c r="O5" i="32"/>
  <c r="O5" i="30"/>
  <c r="L14" i="29"/>
  <c r="M5" i="29" s="1"/>
  <c r="O5" i="29"/>
  <c r="O5" i="27"/>
  <c r="O5" i="1"/>
  <c r="R5" i="1"/>
  <c r="L14" i="33"/>
  <c r="M5" i="33" s="1"/>
  <c r="L14" i="30"/>
  <c r="M5" i="30" s="1"/>
  <c r="L14" i="27"/>
  <c r="M5" i="27" s="1"/>
  <c r="L14" i="37"/>
  <c r="M5" i="37" s="1"/>
  <c r="L8" i="40"/>
  <c r="C8" i="40"/>
  <c r="F8" i="40"/>
  <c r="I8" i="40"/>
  <c r="K14" i="1"/>
  <c r="L14" i="1"/>
  <c r="M5" i="1" s="1"/>
  <c r="N12" i="15"/>
  <c r="J12" i="15"/>
  <c r="F12" i="15"/>
  <c r="B12" i="15"/>
  <c r="K13" i="14"/>
  <c r="K14" i="14"/>
  <c r="K12" i="14"/>
  <c r="H13" i="14"/>
  <c r="H14" i="14"/>
  <c r="H12" i="14"/>
  <c r="E13" i="14"/>
  <c r="E14" i="14"/>
  <c r="E12" i="14"/>
  <c r="K9" i="14"/>
  <c r="H9" i="14"/>
  <c r="E9" i="14"/>
  <c r="B9" i="14"/>
  <c r="K13" i="19"/>
  <c r="K14" i="19"/>
  <c r="K12" i="19"/>
  <c r="K9" i="19"/>
  <c r="H13" i="19"/>
  <c r="H14" i="19"/>
  <c r="H12" i="19"/>
  <c r="H9" i="19"/>
  <c r="E13" i="19"/>
  <c r="E14" i="19"/>
  <c r="E12" i="19"/>
  <c r="B13" i="19"/>
  <c r="B14" i="19"/>
  <c r="B12" i="19"/>
  <c r="E9" i="19"/>
  <c r="B14" i="14"/>
  <c r="B13" i="14"/>
  <c r="B12" i="14"/>
  <c r="B9" i="19"/>
  <c r="H6" i="13" l="1"/>
  <c r="M6" i="13" l="1"/>
  <c r="O6" i="13" s="1"/>
  <c r="I8" i="19"/>
  <c r="F8" i="19"/>
  <c r="F12" i="19" s="1"/>
  <c r="F13" i="19" s="1"/>
  <c r="F14" i="19" s="1"/>
  <c r="H8" i="15"/>
  <c r="C8" i="19"/>
  <c r="H15" i="13"/>
  <c r="P8" i="15"/>
  <c r="H9" i="13"/>
  <c r="H7" i="13"/>
  <c r="H13" i="13"/>
  <c r="H4" i="13"/>
  <c r="F16" i="13"/>
  <c r="AC2" i="26" s="1"/>
  <c r="H8" i="13"/>
  <c r="H11" i="13"/>
  <c r="H12" i="13"/>
  <c r="D8" i="15"/>
  <c r="K8" i="15"/>
  <c r="H5" i="13"/>
  <c r="J16" i="13"/>
  <c r="G8" i="15"/>
  <c r="L8" i="14"/>
  <c r="H14" i="13"/>
  <c r="O8" i="15"/>
  <c r="L8" i="15"/>
  <c r="C8" i="15"/>
  <c r="H10" i="13"/>
  <c r="C12" i="17" l="1"/>
  <c r="F18" i="17" s="1"/>
  <c r="C12" i="41"/>
  <c r="F18" i="41" s="1"/>
  <c r="D11" i="15"/>
  <c r="C12" i="19"/>
  <c r="C13" i="19" s="1"/>
  <c r="C14" i="19" s="1"/>
  <c r="N6" i="13"/>
  <c r="M13" i="13"/>
  <c r="N13" i="13" s="1"/>
  <c r="M7" i="13"/>
  <c r="O7" i="13" s="1"/>
  <c r="M9" i="13"/>
  <c r="O9" i="13" s="1"/>
  <c r="M12" i="13"/>
  <c r="O12" i="13" s="1"/>
  <c r="M5" i="13"/>
  <c r="O5" i="13" s="1"/>
  <c r="M8" i="13"/>
  <c r="O8" i="13" s="1"/>
  <c r="M15" i="13"/>
  <c r="O15" i="13" s="1"/>
  <c r="M11" i="13"/>
  <c r="N11" i="13" s="1"/>
  <c r="M10" i="13"/>
  <c r="O10" i="13" s="1"/>
  <c r="M14" i="13"/>
  <c r="O14" i="13" s="1"/>
  <c r="M4" i="13"/>
  <c r="O4" i="13" s="1"/>
  <c r="I4" i="13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L12" i="14"/>
  <c r="L13" i="14" s="1"/>
  <c r="L14" i="14" s="1"/>
  <c r="I12" i="19"/>
  <c r="I13" i="19" s="1"/>
  <c r="I14" i="19" s="1"/>
  <c r="L8" i="19"/>
  <c r="C9" i="17" s="1"/>
  <c r="P10" i="15"/>
  <c r="P11" i="15"/>
  <c r="L10" i="15"/>
  <c r="G16" i="13"/>
  <c r="AC3" i="26" s="1"/>
  <c r="H11" i="15"/>
  <c r="H10" i="15"/>
  <c r="I8" i="14"/>
  <c r="F8" i="14"/>
  <c r="F12" i="14" s="1"/>
  <c r="F13" i="14" s="1"/>
  <c r="F14" i="14" s="1"/>
  <c r="L11" i="15"/>
  <c r="C8" i="14"/>
  <c r="D10" i="15"/>
  <c r="H16" i="13"/>
  <c r="C9" i="41" l="1"/>
  <c r="C16" i="41" s="1"/>
  <c r="C18" i="41" s="1"/>
  <c r="C21" i="41" s="1"/>
  <c r="C16" i="17"/>
  <c r="C18" i="17" s="1"/>
  <c r="C19" i="17" s="1"/>
  <c r="O13" i="13"/>
  <c r="AC6" i="26"/>
  <c r="F12" i="40"/>
  <c r="F13" i="40" s="1"/>
  <c r="F14" i="40" s="1"/>
  <c r="L12" i="40"/>
  <c r="C12" i="40"/>
  <c r="I12" i="40"/>
  <c r="I13" i="40" s="1"/>
  <c r="I14" i="40" s="1"/>
  <c r="N10" i="13"/>
  <c r="N9" i="13"/>
  <c r="N14" i="13"/>
  <c r="N15" i="13"/>
  <c r="N8" i="13"/>
  <c r="N5" i="13"/>
  <c r="N7" i="13"/>
  <c r="N4" i="13"/>
  <c r="O11" i="13"/>
  <c r="N12" i="13"/>
  <c r="C12" i="14"/>
  <c r="C13" i="14" s="1"/>
  <c r="C14" i="14" s="1"/>
  <c r="L12" i="19"/>
  <c r="L13" i="19" s="1"/>
  <c r="L14" i="19" s="1"/>
  <c r="I12" i="14"/>
  <c r="I13" i="14" s="1"/>
  <c r="I14" i="14" s="1"/>
  <c r="C13" i="40" l="1"/>
  <c r="C14" i="40" s="1"/>
  <c r="C19" i="41"/>
  <c r="C20" i="41" s="1"/>
  <c r="C22" i="41" s="1"/>
  <c r="C24" i="41" s="1"/>
  <c r="F23" i="41" s="1"/>
  <c r="C21" i="17"/>
  <c r="L13" i="40"/>
  <c r="L14" i="40" s="1"/>
  <c r="AB4" i="26" s="1"/>
  <c r="AC4" i="26"/>
  <c r="C20" i="17"/>
  <c r="U7" i="1" l="1"/>
  <c r="U7" i="35"/>
  <c r="U7" i="31"/>
  <c r="U7" i="30"/>
  <c r="U7" i="34"/>
  <c r="U7" i="33"/>
  <c r="U7" i="37"/>
  <c r="U7" i="36"/>
  <c r="U7" i="28"/>
  <c r="U7" i="32"/>
  <c r="U7" i="29"/>
  <c r="U7" i="27"/>
  <c r="F20" i="41"/>
  <c r="F22" i="41"/>
  <c r="F19" i="41"/>
  <c r="C22" i="17"/>
  <c r="F22" i="17" s="1"/>
  <c r="C24" i="17" l="1"/>
  <c r="F19" i="17" s="1"/>
  <c r="F20" i="17" l="1"/>
  <c r="F23" i="1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<sst xmlns="http://schemas.openxmlformats.org/spreadsheetml/2006/main" count="2406" uniqueCount="372">
  <si>
    <t>® Este material encontra-se protegido e todos os direitos reservados à Jessica &amp; Brandão, Lda, empresa detida por Jéssica Ferreira Brandão.</t>
  </si>
  <si>
    <t>Qual cópia ou distribuição deste documento não autorizada, pode ser sujeita a infrações legais.</t>
  </si>
  <si>
    <t>Registo Dados</t>
  </si>
  <si>
    <t>gestorjb</t>
  </si>
  <si>
    <t>Despesas</t>
  </si>
  <si>
    <t>Despesas Fixas</t>
  </si>
  <si>
    <t>Despesas Variáveis</t>
  </si>
  <si>
    <t>Nome</t>
  </si>
  <si>
    <t>Serviços</t>
  </si>
  <si>
    <t>Método Pagamento</t>
  </si>
  <si>
    <t>Investimento</t>
  </si>
  <si>
    <t>NIF</t>
  </si>
  <si>
    <t>Curso</t>
  </si>
  <si>
    <t>MBWay</t>
  </si>
  <si>
    <t>NISS</t>
  </si>
  <si>
    <t>Transferência Bancária</t>
  </si>
  <si>
    <t>Senha das Finanças</t>
  </si>
  <si>
    <t>Senha da Segurança Social</t>
  </si>
  <si>
    <t>Numerário</t>
  </si>
  <si>
    <t>CAE/CIRS</t>
  </si>
  <si>
    <t>Multibanco</t>
  </si>
  <si>
    <t>Inicio de Atividade</t>
  </si>
  <si>
    <t>Produtos</t>
  </si>
  <si>
    <t>Enquadramento Contabilidade</t>
  </si>
  <si>
    <t>Reg. Simplificado</t>
  </si>
  <si>
    <t>Enquadramento de IVA</t>
  </si>
  <si>
    <t>IVA Trimestral</t>
  </si>
  <si>
    <t>Enquadramento SS</t>
  </si>
  <si>
    <t>Isenção</t>
  </si>
  <si>
    <t xml:space="preserve">Parâmetros </t>
  </si>
  <si>
    <t>Dia</t>
  </si>
  <si>
    <t>1º Entrega declaração Trimestral:</t>
  </si>
  <si>
    <t>Regime Simplificado</t>
  </si>
  <si>
    <t>Isenção Art 9º</t>
  </si>
  <si>
    <t>Trimestral</t>
  </si>
  <si>
    <t>2º Entrega declaração Trimestral:</t>
  </si>
  <si>
    <t>Contabilidade Organizada</t>
  </si>
  <si>
    <t>Isenção Art 53º</t>
  </si>
  <si>
    <t>3º Entrega declaração Trimestral:</t>
  </si>
  <si>
    <t>TCO</t>
  </si>
  <si>
    <t>4º Entrega declaração Trimestral:</t>
  </si>
  <si>
    <t>IVA Mensal</t>
  </si>
  <si>
    <t>1ª Data - SAFT</t>
  </si>
  <si>
    <t>2ª Data - Segurança Social</t>
  </si>
  <si>
    <t>3ª Data</t>
  </si>
  <si>
    <t xml:space="preserve">Rendimento Relevante </t>
  </si>
  <si>
    <t>SAFT</t>
  </si>
  <si>
    <t>SS</t>
  </si>
  <si>
    <t>DT</t>
  </si>
  <si>
    <t>Contribuição Mensal</t>
  </si>
  <si>
    <t>Valor Mínimo Contribuição</t>
  </si>
  <si>
    <t>IVA</t>
  </si>
  <si>
    <t>Entrega</t>
  </si>
  <si>
    <t>Pagamento</t>
  </si>
  <si>
    <t>1ºTrimestre</t>
  </si>
  <si>
    <t>2ºTrimestre</t>
  </si>
  <si>
    <t>3ºTrimestre</t>
  </si>
  <si>
    <t>4ºTrimestre</t>
  </si>
  <si>
    <t>Valor limite despesas sem comprovativo</t>
  </si>
  <si>
    <t>Rendimento Coletável</t>
  </si>
  <si>
    <t>Taxa</t>
  </si>
  <si>
    <t>Parcela a abater</t>
  </si>
  <si>
    <t>Minimo</t>
  </si>
  <si>
    <t>Maximo</t>
  </si>
  <si>
    <t xml:space="preserve">-   € </t>
  </si>
  <si>
    <t>Análise Faturação e Despesas | Janeiro</t>
  </si>
  <si>
    <t>JAN</t>
  </si>
  <si>
    <t>Resumo de Faturação e Gastos - Janeiro</t>
  </si>
  <si>
    <t>Fluxo de Caixa</t>
  </si>
  <si>
    <t>Valor a Separar de Impostos</t>
  </si>
  <si>
    <t xml:space="preserve">Total </t>
  </si>
  <si>
    <t>Total</t>
  </si>
  <si>
    <t>Faturação</t>
  </si>
  <si>
    <t>Recibo</t>
  </si>
  <si>
    <t>A receber</t>
  </si>
  <si>
    <t>Pago</t>
  </si>
  <si>
    <t>A pagamento</t>
  </si>
  <si>
    <t>IRS</t>
  </si>
  <si>
    <t>Lucro</t>
  </si>
  <si>
    <t>TOTAL</t>
  </si>
  <si>
    <t>Data</t>
  </si>
  <si>
    <t>Cliente</t>
  </si>
  <si>
    <t>Tipologia</t>
  </si>
  <si>
    <t>Descrição</t>
  </si>
  <si>
    <t>Nº Fatura</t>
  </si>
  <si>
    <t>Prestação</t>
  </si>
  <si>
    <t>Base</t>
  </si>
  <si>
    <t xml:space="preserve">IVA </t>
  </si>
  <si>
    <t>Retenção</t>
  </si>
  <si>
    <t>Estado</t>
  </si>
  <si>
    <t>Método Recebimento</t>
  </si>
  <si>
    <t>Fornecedor</t>
  </si>
  <si>
    <t>Tipo</t>
  </si>
  <si>
    <t>Análise Faturação e Despesas | Fevereiro</t>
  </si>
  <si>
    <t>FEV</t>
  </si>
  <si>
    <t>Resumo de Faturação e Gastos - Fevereiro</t>
  </si>
  <si>
    <t>Análise Faturação e Despesas | Março</t>
  </si>
  <si>
    <t>MAR</t>
  </si>
  <si>
    <t>Resumo de Faturação e Gastos - Março</t>
  </si>
  <si>
    <t>Análise Faturação e Despesas | Abril</t>
  </si>
  <si>
    <t>ABR</t>
  </si>
  <si>
    <t>Resumo de Faturação e Gastos - Abril</t>
  </si>
  <si>
    <t>Análise Faturação e Despesas | Maio</t>
  </si>
  <si>
    <t>MAI</t>
  </si>
  <si>
    <t>Resumo de Faturação e Gastos - Maio</t>
  </si>
  <si>
    <t>Análise Faturação e Despesas | Junho</t>
  </si>
  <si>
    <t>JUN</t>
  </si>
  <si>
    <t>Resumo de Faturação e Gastos - Junho</t>
  </si>
  <si>
    <t>Análise Faturação e Despesas | Julho</t>
  </si>
  <si>
    <t>JUL</t>
  </si>
  <si>
    <t>Resumo de Faturação e Gastos - Julho</t>
  </si>
  <si>
    <t>Análise Faturação e Despesas | Agosto</t>
  </si>
  <si>
    <t>AGO</t>
  </si>
  <si>
    <t>Resumo de Faturação e Gastos - Agosto</t>
  </si>
  <si>
    <t>Análise Faturação e Despesas | Setembro</t>
  </si>
  <si>
    <t>SET</t>
  </si>
  <si>
    <t>Resumo de Faturação e Gastos - Setembro</t>
  </si>
  <si>
    <t>Análise Faturação e Despesas | Outubro</t>
  </si>
  <si>
    <t>OUT</t>
  </si>
  <si>
    <t>Resumo de Faturação e Gastos - Outubro</t>
  </si>
  <si>
    <t>Análise Faturação e Despesas | Novembro</t>
  </si>
  <si>
    <t>NOV</t>
  </si>
  <si>
    <t>Resumo de Faturação e Gastos - Novembro</t>
  </si>
  <si>
    <t>Análise Faturação e Despesas | Dezembro</t>
  </si>
  <si>
    <t>DEZ</t>
  </si>
  <si>
    <t>Resumo de Faturação e Gastos - Dezembro</t>
  </si>
  <si>
    <t>Balanço</t>
  </si>
  <si>
    <t>Resultado</t>
  </si>
  <si>
    <t>Lucro Acumulado</t>
  </si>
  <si>
    <t>Retenção na Fonte</t>
  </si>
  <si>
    <t>1º Trimestre</t>
  </si>
  <si>
    <t>Janeiro</t>
  </si>
  <si>
    <t>Fevereiro</t>
  </si>
  <si>
    <t>Março</t>
  </si>
  <si>
    <t>2º Trimestre</t>
  </si>
  <si>
    <t>Abril</t>
  </si>
  <si>
    <t>Maio</t>
  </si>
  <si>
    <t>Junho</t>
  </si>
  <si>
    <t>3º Trimestre</t>
  </si>
  <si>
    <t>Julho</t>
  </si>
  <si>
    <t>Agosto</t>
  </si>
  <si>
    <t>Setembro</t>
  </si>
  <si>
    <t>4º Trimestre</t>
  </si>
  <si>
    <t>Outubro</t>
  </si>
  <si>
    <t>Novembro</t>
  </si>
  <si>
    <t>Dezembro</t>
  </si>
  <si>
    <t xml:space="preserve"> </t>
  </si>
  <si>
    <t>Segurança Social - Produtos</t>
  </si>
  <si>
    <t>Nota: Possibilidade de aumentar ou reduzir o valor da contribuição em variações de 5% até +25% e -25%. Contribuição mínima de 20€.</t>
  </si>
  <si>
    <t>Segurança Social - Serviços</t>
  </si>
  <si>
    <t>Segurança Social</t>
  </si>
  <si>
    <t>Declaração de IVA</t>
  </si>
  <si>
    <t>IVA Liquidado</t>
  </si>
  <si>
    <t>IVA Dedutível</t>
  </si>
  <si>
    <t>IVA a Recuperar</t>
  </si>
  <si>
    <t>IVA a Pagar</t>
  </si>
  <si>
    <t>Simulação de IRS 2024</t>
  </si>
  <si>
    <t>Faturação por coeficiente</t>
  </si>
  <si>
    <t>Faturado</t>
  </si>
  <si>
    <t>Coeficiente</t>
  </si>
  <si>
    <t>Rendimentos</t>
  </si>
  <si>
    <t>Despesas da Atividade</t>
  </si>
  <si>
    <t>Deduções à Coleta</t>
  </si>
  <si>
    <t>Despesas a comprovar</t>
  </si>
  <si>
    <t>Despesas Não Justificadas</t>
  </si>
  <si>
    <t>Simulação IRS 2024</t>
  </si>
  <si>
    <t xml:space="preserve">Rendimento Global </t>
  </si>
  <si>
    <t>Dedução especifica</t>
  </si>
  <si>
    <t>Apuramento</t>
  </si>
  <si>
    <t>Valor a Receber</t>
  </si>
  <si>
    <t>Aplicação da Taxa</t>
  </si>
  <si>
    <t>Valor a Pagar</t>
  </si>
  <si>
    <t>Parcela a Abater</t>
  </si>
  <si>
    <t>Total Coleta</t>
  </si>
  <si>
    <t>Taxa Efetiva</t>
  </si>
  <si>
    <t>Deduções à coleta</t>
  </si>
  <si>
    <t>Valor a separar mensalmente</t>
  </si>
  <si>
    <t>Valor do Imposto</t>
  </si>
  <si>
    <t>Simulação de IRS 2025</t>
  </si>
  <si>
    <t>Simulação IRS 2025</t>
  </si>
  <si>
    <t>Individual</t>
  </si>
  <si>
    <t>Acc</t>
  </si>
  <si>
    <t>Entrega S.Social:</t>
  </si>
  <si>
    <t>Pagamento S.Social:</t>
  </si>
  <si>
    <t>S.Social</t>
  </si>
  <si>
    <t>Entrega IVA:</t>
  </si>
  <si>
    <t>IVA Liq.</t>
  </si>
  <si>
    <t>Pagamento IVA:</t>
  </si>
  <si>
    <t>IVA Ded.</t>
  </si>
  <si>
    <t>Entrega IVA</t>
  </si>
  <si>
    <t>Pagamento IVA</t>
  </si>
  <si>
    <t>Entrega S.Social</t>
  </si>
  <si>
    <t>Pag. SS</t>
  </si>
  <si>
    <t>1ºData</t>
  </si>
  <si>
    <t>2ºData</t>
  </si>
  <si>
    <t>3ºData</t>
  </si>
  <si>
    <t>Bárbara Mello Carvalho</t>
  </si>
  <si>
    <t>Barbara121994@</t>
  </si>
  <si>
    <t>BARBARA25082015</t>
  </si>
  <si>
    <t>qEEG</t>
  </si>
  <si>
    <t>NFB</t>
  </si>
  <si>
    <t>Pack NFB</t>
  </si>
  <si>
    <t>João Vieira</t>
  </si>
  <si>
    <t>Inês Matos</t>
  </si>
  <si>
    <t>Ana Oliveira</t>
  </si>
  <si>
    <t>Rui Fernandes</t>
  </si>
  <si>
    <t>Fátima</t>
  </si>
  <si>
    <t>Martim Silva</t>
  </si>
  <si>
    <t>João Afonso</t>
  </si>
  <si>
    <t>José Ferreira</t>
  </si>
  <si>
    <t>Teresa Xavier</t>
  </si>
  <si>
    <t xml:space="preserve">Gabriel Cruz </t>
  </si>
  <si>
    <t>Renda</t>
  </si>
  <si>
    <t>TPA</t>
  </si>
  <si>
    <t xml:space="preserve">Débito direto </t>
  </si>
  <si>
    <t>Eulália</t>
  </si>
  <si>
    <t>Meta</t>
  </si>
  <si>
    <t>Beatriz Cerqueira</t>
  </si>
  <si>
    <t xml:space="preserve">Lurdes </t>
  </si>
  <si>
    <t xml:space="preserve">Rugal </t>
  </si>
  <si>
    <t xml:space="preserve">Ângela </t>
  </si>
  <si>
    <t>Lourenço Cunha</t>
  </si>
  <si>
    <t>Afonso Coelho</t>
  </si>
  <si>
    <t>Dinis Pereira</t>
  </si>
  <si>
    <t xml:space="preserve">Inês Matos </t>
  </si>
  <si>
    <t xml:space="preserve">João Miguel </t>
  </si>
  <si>
    <t>Conceição</t>
  </si>
  <si>
    <t>ChatGPT</t>
  </si>
  <si>
    <t>META</t>
  </si>
  <si>
    <t>Banco/Imp/selo</t>
  </si>
  <si>
    <t>Vitória</t>
  </si>
  <si>
    <t>Joel</t>
  </si>
  <si>
    <t>Catarina AuraClinc</t>
  </si>
  <si>
    <t>João Paulo</t>
  </si>
  <si>
    <t>17/30</t>
  </si>
  <si>
    <t>Luis Pedro</t>
  </si>
  <si>
    <t>Gabriel Cardoso</t>
  </si>
  <si>
    <t>Eulalia</t>
  </si>
  <si>
    <t>Banco/Selp/Imp</t>
  </si>
  <si>
    <t xml:space="preserve">Gabriel  Cardoso </t>
  </si>
  <si>
    <t>António Barbosa</t>
  </si>
  <si>
    <t>Pedro Fonseca</t>
  </si>
  <si>
    <t>Paulo Gomes</t>
  </si>
  <si>
    <t>Alexandre</t>
  </si>
  <si>
    <t>Ismael</t>
  </si>
  <si>
    <t>Duarte teixeira</t>
  </si>
  <si>
    <t>Neuroguide</t>
  </si>
  <si>
    <t>Banco/selo/im</t>
  </si>
  <si>
    <t>Micael Silva</t>
  </si>
  <si>
    <t xml:space="preserve">Ismael </t>
  </si>
  <si>
    <t>Miguel Anjo</t>
  </si>
  <si>
    <t>Guilherme (Aida)</t>
  </si>
  <si>
    <t>António Pereira</t>
  </si>
  <si>
    <t>Man Conta</t>
  </si>
  <si>
    <t>imp selo</t>
  </si>
  <si>
    <t>Amazon</t>
  </si>
  <si>
    <t>TeclaJo</t>
  </si>
  <si>
    <t>Marketing</t>
  </si>
  <si>
    <t>Paula Barbosa</t>
  </si>
  <si>
    <t>Pedro Fonsenca</t>
  </si>
  <si>
    <t>Joana 29C</t>
  </si>
  <si>
    <t>Cláudia 28A</t>
  </si>
  <si>
    <t xml:space="preserve">Carlos Rocha </t>
  </si>
  <si>
    <t>Rui Pedro</t>
  </si>
  <si>
    <t>Benedita Ribeiro</t>
  </si>
  <si>
    <t>Cristina Castro</t>
  </si>
  <si>
    <t>Maria Bertilia</t>
  </si>
  <si>
    <t>Rute</t>
  </si>
  <si>
    <t>Eduardo 35C</t>
  </si>
  <si>
    <t>Manuela 36A</t>
  </si>
  <si>
    <t>banco</t>
  </si>
  <si>
    <t>ALLIANZ</t>
  </si>
  <si>
    <t>man conta</t>
  </si>
  <si>
    <t>selo</t>
  </si>
  <si>
    <t>banco inp</t>
  </si>
  <si>
    <t>Centro IPS</t>
  </si>
  <si>
    <t>conceição</t>
  </si>
  <si>
    <t>sanotecnica</t>
  </si>
  <si>
    <t xml:space="preserve">Benedita </t>
  </si>
  <si>
    <t>Manuela</t>
  </si>
  <si>
    <t>João Montenegro</t>
  </si>
  <si>
    <t xml:space="preserve">António </t>
  </si>
  <si>
    <t>João Pedro</t>
  </si>
  <si>
    <t>Madalena</t>
  </si>
  <si>
    <t xml:space="preserve">Micael Silva </t>
  </si>
  <si>
    <t>Fátima 40A</t>
  </si>
  <si>
    <t>André 41A</t>
  </si>
  <si>
    <t>Fernanda 42A</t>
  </si>
  <si>
    <t>Domingos 43A</t>
  </si>
  <si>
    <t>Cátia44A</t>
  </si>
  <si>
    <t>Afonso 7C</t>
  </si>
  <si>
    <t>Helena 45A</t>
  </si>
  <si>
    <t>Sofia 46A</t>
  </si>
  <si>
    <t>Sofia 47A</t>
  </si>
  <si>
    <t>João 37A</t>
  </si>
  <si>
    <t>Micael 48A</t>
  </si>
  <si>
    <t>Carlos Rocha</t>
  </si>
  <si>
    <t>Carolina 49A</t>
  </si>
  <si>
    <t>42A</t>
  </si>
  <si>
    <t>Filipa Cunha</t>
  </si>
  <si>
    <t>Tomás 65A</t>
  </si>
  <si>
    <t>Alexandre 67C</t>
  </si>
  <si>
    <t>Pag serviços</t>
  </si>
  <si>
    <t>Contabilista</t>
  </si>
  <si>
    <t>Diana 74A</t>
  </si>
  <si>
    <t>Filipe Dias</t>
  </si>
  <si>
    <t xml:space="preserve">Clara </t>
  </si>
  <si>
    <t>Agostinho</t>
  </si>
  <si>
    <t>Finanças Iva</t>
  </si>
  <si>
    <t>JoãoPedro 73C</t>
  </si>
  <si>
    <t>Luis Miguel69C</t>
  </si>
  <si>
    <t>José 84A</t>
  </si>
  <si>
    <t>Ivo 85A</t>
  </si>
  <si>
    <t xml:space="preserve">Pago </t>
  </si>
  <si>
    <t>Tomás 86C</t>
  </si>
  <si>
    <t>Laura 87C</t>
  </si>
  <si>
    <t>79A Maria do Ceu</t>
  </si>
  <si>
    <t>Miguel 88C</t>
  </si>
  <si>
    <t>Carlos Rocha27A</t>
  </si>
  <si>
    <t>Miguel Queirós</t>
  </si>
  <si>
    <t>Joao Pedro 73C</t>
  </si>
  <si>
    <t>69C Luis Miguel</t>
  </si>
  <si>
    <t>73C João Pedr</t>
  </si>
  <si>
    <t>63C Violeta</t>
  </si>
  <si>
    <t>90A Diana Antunes</t>
  </si>
  <si>
    <t>Gabriel 78C</t>
  </si>
  <si>
    <t>Agostinho 77A</t>
  </si>
  <si>
    <t>Diana74A</t>
  </si>
  <si>
    <t>Luana 71C</t>
  </si>
  <si>
    <t>Gonçalo 51C</t>
  </si>
  <si>
    <t>Madalena 39C</t>
  </si>
  <si>
    <t>Tomas 91c</t>
  </si>
  <si>
    <t>João Pedro 73C</t>
  </si>
  <si>
    <t>Fernanda 66A</t>
  </si>
  <si>
    <t xml:space="preserve">João 70A </t>
  </si>
  <si>
    <t>Filipa 92A</t>
  </si>
  <si>
    <t>Maria do Céu 79A</t>
  </si>
  <si>
    <t>Pedro 93C</t>
  </si>
  <si>
    <t>Claudia 28A</t>
  </si>
  <si>
    <t>JP 94A</t>
  </si>
  <si>
    <t xml:space="preserve">77A Agostinho </t>
  </si>
  <si>
    <t>Tomas 65C</t>
  </si>
  <si>
    <t xml:space="preserve">73C João Pedro </t>
  </si>
  <si>
    <t>Luis Miguel 69C</t>
  </si>
  <si>
    <t>Maria Ines 95C</t>
  </si>
  <si>
    <t>Ana 96A</t>
  </si>
  <si>
    <t>Lucas 97C</t>
  </si>
  <si>
    <t>Leonor 98C</t>
  </si>
  <si>
    <t>Paulo</t>
  </si>
  <si>
    <t xml:space="preserve">78C </t>
  </si>
  <si>
    <t>73C</t>
  </si>
  <si>
    <t xml:space="preserve">5 euros a mais </t>
  </si>
  <si>
    <t>Coluna1</t>
  </si>
  <si>
    <t>86C Tomas</t>
  </si>
  <si>
    <t>100A Carla</t>
  </si>
  <si>
    <t>95C Maria Ines</t>
  </si>
  <si>
    <t>74A</t>
  </si>
  <si>
    <t>101A Paulo</t>
  </si>
  <si>
    <t>Lurdes 6A</t>
  </si>
  <si>
    <t>48A Mica</t>
  </si>
  <si>
    <t>102A</t>
  </si>
  <si>
    <t>Cristina 32A</t>
  </si>
  <si>
    <t>Maria Ines 50C</t>
  </si>
  <si>
    <t>Rute 34A</t>
  </si>
  <si>
    <t>Ismael 21A</t>
  </si>
  <si>
    <t>37A João</t>
  </si>
  <si>
    <t>Benedita 31C</t>
  </si>
  <si>
    <t>Lurdes 400</t>
  </si>
  <si>
    <t>36A Manuela</t>
  </si>
  <si>
    <t xml:space="preserve">35C Eduardo </t>
  </si>
  <si>
    <t>Dinis 52C</t>
  </si>
  <si>
    <t>32A Cristina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</si>
</sst>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#,##0.00\ &quot;€&quot;_);[Red]\(#,##0.00\ &quot;€&quot;\)"/>
    <numFmt numFmtId="165" formatCode="_ * #,##0.00_)\ &quot;€&quot;_ ;_ * \(#,##0.00\)\ &quot;€&quot;_ ;_ * &quot;-&quot;??_)\ &quot;€&quot;_ ;_ @_ "/>
    <numFmt numFmtId="166" formatCode="_-* #,##0.00\ &quot;€&quot;_-;\-* #,##0.00\ &quot;€&quot;_-;_-* &quot;-&quot;??\ &quot;€&quot;_-;_-@"/>
    <numFmt numFmtId="167" formatCode="_-[$€-2]\ * #,##0.00_-;\-[$€-2]\ * #,##0.00_-;_-[$€-2]\ * &quot;-&quot;??_-;_-@"/>
    <numFmt numFmtId="168" formatCode="#,##0.00\ &quot;€&quot;"/>
    <numFmt numFmtId="169" formatCode="0.0%"/>
    <numFmt numFmtId="170" formatCode="000,000,000"/>
    <numFmt numFmtId="171" formatCode="dd\-mm\-yyyy"/>
    <numFmt numFmtId="172" formatCode="yyyy\-mm\-dd;@"/>
    <numFmt numFmtId="173" formatCode=";;;"/>
  </numFmts>
  <fonts count="5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3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274E13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9" tint="-0.499984740745262"/>
      <name val="Book Antiqua"/>
      <family val="1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4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(corpo)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48"/>
      <color theme="9" tint="-0.499984740745262"/>
      <name val="Book Antiqua"/>
      <family val="1"/>
    </font>
    <font>
      <sz val="11"/>
      <color theme="1"/>
      <name val="Calibri (corpo)"/>
    </font>
    <font>
      <b/>
      <sz val="18"/>
      <color theme="1"/>
      <name val="Calibri"/>
      <family val="2"/>
    </font>
    <font>
      <sz val="16"/>
      <color theme="0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6" tint="0.79998168889431442"/>
      <name val="Calibri"/>
      <family val="2"/>
      <scheme val="minor"/>
    </font>
    <font>
      <b/>
      <sz val="16"/>
      <color theme="0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Arial"/>
      <family val="2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9" tint="-0.499984740745262"/>
      <name val="Book Antiqua"/>
      <family val="1"/>
    </font>
    <font>
      <sz val="18"/>
      <name val="Calibri"/>
      <family val="2"/>
    </font>
    <font>
      <b/>
      <sz val="12"/>
      <color theme="5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 (corpo)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FFCCCC"/>
        <bgColor rgb="FFFFCCCC"/>
      </patternFill>
    </fill>
    <fill>
      <patternFill patternType="solid">
        <fgColor rgb="FFFFFF99"/>
        <bgColor rgb="FFFFFF99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A8D08D"/>
      </patternFill>
    </fill>
    <fill>
      <patternFill patternType="solid">
        <fgColor theme="9"/>
        <bgColor rgb="FFA8D08D"/>
      </patternFill>
    </fill>
    <fill>
      <patternFill patternType="solid">
        <fgColor theme="9" tint="0.59999389629810485"/>
        <bgColor rgb="FFF7CAAC"/>
      </patternFill>
    </fill>
    <fill>
      <patternFill patternType="solid">
        <fgColor theme="8" tint="0.79998168889431442"/>
        <bgColor rgb="FFFFD965"/>
      </patternFill>
    </fill>
    <fill>
      <patternFill patternType="solid">
        <fgColor theme="6"/>
        <bgColor rgb="FF8EAAD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rgb="FFFFD965"/>
      </patternFill>
    </fill>
    <fill>
      <patternFill patternType="solid">
        <fgColor theme="9" tint="-0.249977111117893"/>
        <bgColor rgb="FFA8D08D"/>
      </patternFill>
    </fill>
    <fill>
      <patternFill patternType="solid">
        <fgColor theme="9" tint="0.39997558519241921"/>
        <bgColor rgb="FFF7CAAC"/>
      </patternFill>
    </fill>
    <fill>
      <patternFill patternType="solid">
        <fgColor theme="7" tint="0.79998168889431442"/>
        <bgColor rgb="FFA8D08D"/>
      </patternFill>
    </fill>
    <fill>
      <patternFill patternType="solid">
        <fgColor theme="9" tint="0.79998168889431442"/>
        <bgColor rgb="FFFFE598"/>
      </patternFill>
    </fill>
    <fill>
      <patternFill patternType="solid">
        <fgColor theme="9" tint="0.79998168889431442"/>
        <bgColor rgb="FFDADADA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9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56" fillId="0" borderId="0" applyNumberFormat="0" applyFill="0" applyBorder="0" applyAlignment="0" applyProtection="0"/>
  </cellStyleXfs>
  <cellXfs count="281">
    <xf numFmtId="0" fontId="0" fillId="0" borderId="0" xfId="0"/>
    <xf numFmtId="166" fontId="10" fillId="0" borderId="4" xfId="0" applyNumberFormat="1" applyFont="1" applyBorder="1"/>
    <xf numFmtId="0" fontId="11" fillId="0" borderId="0" xfId="0" applyFont="1"/>
    <xf numFmtId="0" fontId="10" fillId="0" borderId="0" xfId="0" applyFont="1"/>
    <xf numFmtId="166" fontId="10" fillId="0" borderId="8" xfId="0" applyNumberFormat="1" applyFont="1" applyBorder="1" applyAlignment="1">
      <alignment horizontal="center"/>
    </xf>
    <xf numFmtId="166" fontId="10" fillId="0" borderId="9" xfId="0" applyNumberFormat="1" applyFont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166" fontId="10" fillId="0" borderId="10" xfId="0" applyNumberFormat="1" applyFont="1" applyBorder="1" applyAlignment="1">
      <alignment horizontal="center"/>
    </xf>
    <xf numFmtId="0" fontId="15" fillId="0" borderId="0" xfId="0" applyFont="1"/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166" fontId="13" fillId="0" borderId="0" xfId="0" applyNumberFormat="1" applyFont="1"/>
    <xf numFmtId="0" fontId="13" fillId="0" borderId="0" xfId="0" applyFont="1"/>
    <xf numFmtId="166" fontId="10" fillId="0" borderId="9" xfId="0" applyNumberFormat="1" applyFont="1" applyBorder="1"/>
    <xf numFmtId="166" fontId="10" fillId="0" borderId="10" xfId="0" applyNumberFormat="1" applyFont="1" applyBorder="1"/>
    <xf numFmtId="0" fontId="10" fillId="0" borderId="0" xfId="0" applyFont="1" applyAlignment="1">
      <alignment wrapText="1"/>
    </xf>
    <xf numFmtId="0" fontId="10" fillId="0" borderId="0" xfId="0" applyFont="1" applyAlignment="1">
      <alignment vertical="center"/>
    </xf>
    <xf numFmtId="10" fontId="10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167" fontId="10" fillId="0" borderId="0" xfId="0" applyNumberFormat="1" applyFont="1"/>
    <xf numFmtId="0" fontId="10" fillId="0" borderId="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66" fontId="10" fillId="0" borderId="12" xfId="0" applyNumberFormat="1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166" fontId="17" fillId="0" borderId="12" xfId="0" applyNumberFormat="1" applyFont="1" applyBorder="1" applyAlignment="1">
      <alignment horizontal="center" vertical="center"/>
    </xf>
    <xf numFmtId="10" fontId="17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169" fontId="0" fillId="0" borderId="15" xfId="1" applyNumberFormat="1" applyFont="1" applyBorder="1" applyAlignment="1">
      <alignment horizontal="center" vertical="center"/>
    </xf>
    <xf numFmtId="0" fontId="20" fillId="6" borderId="15" xfId="0" applyFont="1" applyFill="1" applyBorder="1" applyAlignment="1">
      <alignment horizontal="center" vertical="center"/>
    </xf>
    <xf numFmtId="0" fontId="21" fillId="7" borderId="15" xfId="0" applyFont="1" applyFill="1" applyBorder="1"/>
    <xf numFmtId="168" fontId="0" fillId="0" borderId="15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21" fillId="0" borderId="1" xfId="0" applyFont="1" applyBorder="1"/>
    <xf numFmtId="168" fontId="18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8" fontId="24" fillId="0" borderId="1" xfId="0" applyNumberFormat="1" applyFont="1" applyBorder="1" applyAlignment="1">
      <alignment horizontal="center" vertical="center"/>
    </xf>
    <xf numFmtId="168" fontId="25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7" fillId="8" borderId="16" xfId="0" applyFont="1" applyFill="1" applyBorder="1"/>
    <xf numFmtId="0" fontId="27" fillId="8" borderId="17" xfId="0" applyFont="1" applyFill="1" applyBorder="1"/>
    <xf numFmtId="0" fontId="27" fillId="8" borderId="17" xfId="0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0" fontId="27" fillId="8" borderId="18" xfId="0" applyFont="1" applyFill="1" applyBorder="1"/>
    <xf numFmtId="168" fontId="20" fillId="8" borderId="15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4" fontId="11" fillId="0" borderId="1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68" fontId="11" fillId="0" borderId="14" xfId="0" applyNumberFormat="1" applyFont="1" applyBorder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8" fillId="8" borderId="17" xfId="0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44" fontId="17" fillId="0" borderId="12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14" fontId="0" fillId="0" borderId="0" xfId="0" applyNumberFormat="1"/>
    <xf numFmtId="0" fontId="20" fillId="6" borderId="15" xfId="0" applyFont="1" applyFill="1" applyBorder="1" applyAlignment="1">
      <alignment horizontal="center" vertical="center" wrapText="1"/>
    </xf>
    <xf numFmtId="0" fontId="31" fillId="0" borderId="0" xfId="0" applyFont="1"/>
    <xf numFmtId="44" fontId="3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44" fontId="11" fillId="0" borderId="0" xfId="0" applyNumberFormat="1" applyFont="1" applyAlignment="1">
      <alignment horizontal="center" vertical="center"/>
    </xf>
    <xf numFmtId="0" fontId="8" fillId="0" borderId="0" xfId="0" applyFont="1"/>
    <xf numFmtId="0" fontId="33" fillId="0" borderId="0" xfId="0" applyFont="1"/>
    <xf numFmtId="0" fontId="15" fillId="0" borderId="0" xfId="0" applyFont="1" applyAlignment="1">
      <alignment horizontal="center"/>
    </xf>
    <xf numFmtId="166" fontId="35" fillId="0" borderId="0" xfId="0" applyNumberFormat="1" applyFont="1" applyAlignment="1">
      <alignment horizontal="center"/>
    </xf>
    <xf numFmtId="0" fontId="36" fillId="0" borderId="0" xfId="0" applyFont="1"/>
    <xf numFmtId="0" fontId="0" fillId="7" borderId="0" xfId="0" applyFill="1"/>
    <xf numFmtId="0" fontId="38" fillId="0" borderId="0" xfId="0" applyFont="1"/>
    <xf numFmtId="0" fontId="0" fillId="0" borderId="0" xfId="0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166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1" fillId="0" borderId="0" xfId="0" applyFont="1"/>
    <xf numFmtId="0" fontId="42" fillId="15" borderId="7" xfId="0" applyFont="1" applyFill="1" applyBorder="1" applyAlignment="1">
      <alignment horizontal="center" vertical="center"/>
    </xf>
    <xf numFmtId="166" fontId="41" fillId="15" borderId="9" xfId="0" applyNumberFormat="1" applyFont="1" applyFill="1" applyBorder="1" applyAlignment="1">
      <alignment vertical="center"/>
    </xf>
    <xf numFmtId="0" fontId="42" fillId="15" borderId="3" xfId="0" applyFont="1" applyFill="1" applyBorder="1" applyAlignment="1">
      <alignment horizontal="center" vertical="center"/>
    </xf>
    <xf numFmtId="166" fontId="41" fillId="15" borderId="4" xfId="0" applyNumberFormat="1" applyFont="1" applyFill="1" applyBorder="1" applyAlignment="1">
      <alignment vertical="center"/>
    </xf>
    <xf numFmtId="0" fontId="42" fillId="15" borderId="6" xfId="0" applyFont="1" applyFill="1" applyBorder="1" applyAlignment="1">
      <alignment horizontal="center" vertical="center"/>
    </xf>
    <xf numFmtId="166" fontId="41" fillId="15" borderId="10" xfId="0" applyNumberFormat="1" applyFont="1" applyFill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2" fillId="18" borderId="16" xfId="0" applyFont="1" applyFill="1" applyBorder="1" applyAlignment="1">
      <alignment horizontal="center" vertical="center"/>
    </xf>
    <xf numFmtId="0" fontId="12" fillId="19" borderId="18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44" fontId="43" fillId="9" borderId="0" xfId="0" applyNumberFormat="1" applyFont="1" applyFill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0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66" fontId="15" fillId="0" borderId="25" xfId="0" applyNumberFormat="1" applyFont="1" applyBorder="1" applyAlignment="1">
      <alignment horizontal="center" vertical="center"/>
    </xf>
    <xf numFmtId="44" fontId="33" fillId="0" borderId="0" xfId="0" applyNumberFormat="1" applyFont="1" applyAlignment="1">
      <alignment horizontal="center"/>
    </xf>
    <xf numFmtId="166" fontId="15" fillId="0" borderId="1" xfId="0" applyNumberFormat="1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166" fontId="17" fillId="20" borderId="12" xfId="0" applyNumberFormat="1" applyFont="1" applyFill="1" applyBorder="1" applyAlignment="1">
      <alignment horizontal="center" vertical="center"/>
    </xf>
    <xf numFmtId="10" fontId="17" fillId="0" borderId="12" xfId="1" applyNumberFormat="1" applyFont="1" applyBorder="1" applyAlignment="1">
      <alignment horizontal="right" vertical="center"/>
    </xf>
    <xf numFmtId="0" fontId="15" fillId="0" borderId="26" xfId="0" applyFont="1" applyBorder="1" applyAlignment="1">
      <alignment horizontal="center" vertical="center"/>
    </xf>
    <xf numFmtId="166" fontId="17" fillId="0" borderId="27" xfId="0" applyNumberFormat="1" applyFont="1" applyBorder="1" applyAlignment="1">
      <alignment horizontal="center" vertical="center"/>
    </xf>
    <xf numFmtId="0" fontId="15" fillId="21" borderId="26" xfId="0" applyFont="1" applyFill="1" applyBorder="1" applyAlignment="1">
      <alignment horizontal="center" vertical="center"/>
    </xf>
    <xf numFmtId="166" fontId="17" fillId="21" borderId="27" xfId="0" applyNumberFormat="1" applyFont="1" applyFill="1" applyBorder="1" applyAlignment="1">
      <alignment horizontal="center" vertical="center"/>
    </xf>
    <xf numFmtId="0" fontId="15" fillId="22" borderId="24" xfId="0" applyFont="1" applyFill="1" applyBorder="1" applyAlignment="1">
      <alignment horizontal="center" vertical="center"/>
    </xf>
    <xf numFmtId="166" fontId="17" fillId="22" borderId="25" xfId="0" applyNumberFormat="1" applyFont="1" applyFill="1" applyBorder="1" applyAlignment="1">
      <alignment vertical="center"/>
    </xf>
    <xf numFmtId="0" fontId="45" fillId="0" borderId="15" xfId="0" applyFont="1" applyBorder="1" applyAlignment="1">
      <alignment horizontal="center"/>
    </xf>
    <xf numFmtId="164" fontId="45" fillId="0" borderId="15" xfId="0" applyNumberFormat="1" applyFont="1" applyBorder="1"/>
    <xf numFmtId="10" fontId="45" fillId="0" borderId="15" xfId="0" applyNumberFormat="1" applyFont="1" applyBorder="1" applyAlignment="1">
      <alignment horizontal="center"/>
    </xf>
    <xf numFmtId="164" fontId="45" fillId="0" borderId="15" xfId="0" applyNumberFormat="1" applyFont="1" applyBorder="1" applyAlignment="1">
      <alignment horizontal="center"/>
    </xf>
    <xf numFmtId="0" fontId="46" fillId="0" borderId="0" xfId="0" applyFont="1" applyAlignment="1">
      <alignment horizontal="center" vertical="center"/>
    </xf>
    <xf numFmtId="168" fontId="46" fillId="0" borderId="0" xfId="0" applyNumberFormat="1" applyFont="1" applyAlignment="1">
      <alignment horizontal="center" vertical="center"/>
    </xf>
    <xf numFmtId="0" fontId="46" fillId="0" borderId="0" xfId="0" applyFont="1"/>
    <xf numFmtId="0" fontId="47" fillId="0" borderId="0" xfId="0" applyFont="1" applyAlignment="1">
      <alignment horizontal="center" vertical="center"/>
    </xf>
    <xf numFmtId="168" fontId="47" fillId="0" borderId="0" xfId="0" applyNumberFormat="1" applyFont="1" applyAlignment="1">
      <alignment horizontal="center" vertical="center"/>
    </xf>
    <xf numFmtId="0" fontId="47" fillId="0" borderId="0" xfId="0" applyFont="1"/>
    <xf numFmtId="168" fontId="7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center" vertical="center"/>
    </xf>
    <xf numFmtId="17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0" fontId="0" fillId="0" borderId="0" xfId="0" applyNumberFormat="1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173" fontId="0" fillId="0" borderId="0" xfId="0" applyNumberFormat="1"/>
    <xf numFmtId="0" fontId="48" fillId="11" borderId="2" xfId="0" applyFont="1" applyFill="1" applyBorder="1" applyAlignment="1">
      <alignment horizontal="center" vertical="center"/>
    </xf>
    <xf numFmtId="0" fontId="48" fillId="12" borderId="2" xfId="0" applyFont="1" applyFill="1" applyBorder="1" applyAlignment="1">
      <alignment horizontal="center" vertical="center"/>
    </xf>
    <xf numFmtId="0" fontId="48" fillId="13" borderId="2" xfId="0" applyFont="1" applyFill="1" applyBorder="1" applyAlignment="1">
      <alignment horizontal="center" vertical="center"/>
    </xf>
    <xf numFmtId="0" fontId="48" fillId="16" borderId="2" xfId="0" applyFont="1" applyFill="1" applyBorder="1" applyAlignment="1">
      <alignment horizontal="center" vertical="center"/>
    </xf>
    <xf numFmtId="0" fontId="48" fillId="14" borderId="2" xfId="0" applyFont="1" applyFill="1" applyBorder="1" applyAlignment="1">
      <alignment horizontal="center" vertical="center" wrapText="1"/>
    </xf>
    <xf numFmtId="0" fontId="0" fillId="9" borderId="0" xfId="0" applyFill="1"/>
    <xf numFmtId="165" fontId="0" fillId="0" borderId="0" xfId="0" applyNumberFormat="1"/>
    <xf numFmtId="0" fontId="49" fillId="0" borderId="0" xfId="0" applyFont="1" applyAlignment="1">
      <alignment horizontal="center" vertical="center"/>
    </xf>
    <xf numFmtId="165" fontId="35" fillId="15" borderId="23" xfId="2" applyFont="1" applyFill="1" applyBorder="1" applyAlignment="1">
      <alignment horizontal="center" vertical="center"/>
    </xf>
    <xf numFmtId="165" fontId="35" fillId="15" borderId="25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15" borderId="29" xfId="0" applyFont="1" applyFill="1" applyBorder="1" applyAlignment="1">
      <alignment horizontal="center" vertical="center"/>
    </xf>
    <xf numFmtId="166" fontId="17" fillId="15" borderId="13" xfId="0" applyNumberFormat="1" applyFont="1" applyFill="1" applyBorder="1" applyAlignment="1">
      <alignment horizontal="center" vertical="center"/>
    </xf>
    <xf numFmtId="166" fontId="17" fillId="15" borderId="9" xfId="0" applyNumberFormat="1" applyFont="1" applyFill="1" applyBorder="1" applyAlignment="1">
      <alignment horizontal="center" vertical="center"/>
    </xf>
    <xf numFmtId="0" fontId="17" fillId="15" borderId="30" xfId="0" applyFont="1" applyFill="1" applyBorder="1" applyAlignment="1">
      <alignment horizontal="center" vertical="center"/>
    </xf>
    <xf numFmtId="166" fontId="17" fillId="15" borderId="19" xfId="0" applyNumberFormat="1" applyFont="1" applyFill="1" applyBorder="1" applyAlignment="1">
      <alignment horizontal="center" vertical="center"/>
    </xf>
    <xf numFmtId="166" fontId="17" fillId="15" borderId="4" xfId="0" applyNumberFormat="1" applyFont="1" applyFill="1" applyBorder="1" applyAlignment="1">
      <alignment horizontal="center" vertical="center"/>
    </xf>
    <xf numFmtId="0" fontId="17" fillId="15" borderId="31" xfId="0" applyFont="1" applyFill="1" applyBorder="1" applyAlignment="1">
      <alignment horizontal="center" vertical="center"/>
    </xf>
    <xf numFmtId="166" fontId="17" fillId="15" borderId="14" xfId="0" applyNumberFormat="1" applyFont="1" applyFill="1" applyBorder="1" applyAlignment="1">
      <alignment horizontal="center" vertical="center"/>
    </xf>
    <xf numFmtId="166" fontId="17" fillId="15" borderId="10" xfId="0" applyNumberFormat="1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13" xfId="0" applyNumberFormat="1" applyFont="1" applyBorder="1" applyAlignment="1">
      <alignment horizontal="center" vertical="center"/>
    </xf>
    <xf numFmtId="166" fontId="17" fillId="0" borderId="9" xfId="0" applyNumberFormat="1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66" fontId="17" fillId="0" borderId="19" xfId="0" applyNumberFormat="1" applyFont="1" applyBorder="1" applyAlignment="1">
      <alignment horizontal="center" vertical="center"/>
    </xf>
    <xf numFmtId="166" fontId="17" fillId="0" borderId="4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6" fontId="17" fillId="0" borderId="14" xfId="0" applyNumberFormat="1" applyFont="1" applyBorder="1" applyAlignment="1">
      <alignment horizontal="center" vertical="center"/>
    </xf>
    <xf numFmtId="166" fontId="17" fillId="0" borderId="10" xfId="0" applyNumberFormat="1" applyFont="1" applyBorder="1" applyAlignment="1">
      <alignment horizontal="center" vertical="center"/>
    </xf>
    <xf numFmtId="0" fontId="53" fillId="23" borderId="21" xfId="0" applyFont="1" applyFill="1" applyBorder="1" applyAlignment="1">
      <alignment horizontal="left"/>
    </xf>
    <xf numFmtId="0" fontId="53" fillId="23" borderId="28" xfId="0" applyFont="1" applyFill="1" applyBorder="1" applyAlignment="1">
      <alignment horizontal="left"/>
    </xf>
    <xf numFmtId="0" fontId="7" fillId="24" borderId="32" xfId="0" applyFont="1" applyFill="1" applyBorder="1" applyAlignment="1">
      <alignment horizontal="center"/>
    </xf>
    <xf numFmtId="14" fontId="7" fillId="24" borderId="32" xfId="0" applyNumberFormat="1" applyFont="1" applyFill="1" applyBorder="1" applyAlignment="1">
      <alignment horizontal="center"/>
    </xf>
    <xf numFmtId="9" fontId="7" fillId="24" borderId="32" xfId="0" applyNumberFormat="1" applyFont="1" applyFill="1" applyBorder="1" applyAlignment="1">
      <alignment horizontal="center"/>
    </xf>
    <xf numFmtId="0" fontId="53" fillId="23" borderId="24" xfId="0" applyFont="1" applyFill="1" applyBorder="1" applyAlignment="1">
      <alignment horizontal="left"/>
    </xf>
    <xf numFmtId="9" fontId="7" fillId="24" borderId="25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/>
    </xf>
    <xf numFmtId="173" fontId="0" fillId="0" borderId="0" xfId="0" applyNumberFormat="1" applyAlignment="1">
      <alignment vertical="center"/>
    </xf>
    <xf numFmtId="165" fontId="35" fillId="0" borderId="33" xfId="2" applyFont="1" applyBorder="1" applyAlignment="1">
      <alignment horizontal="center"/>
    </xf>
    <xf numFmtId="165" fontId="41" fillId="0" borderId="33" xfId="2" applyFont="1" applyBorder="1" applyAlignment="1">
      <alignment horizontal="center" vertical="center"/>
    </xf>
    <xf numFmtId="14" fontId="54" fillId="7" borderId="33" xfId="0" applyNumberFormat="1" applyFont="1" applyFill="1" applyBorder="1" applyAlignment="1">
      <alignment horizontal="center" vertical="center"/>
    </xf>
    <xf numFmtId="165" fontId="33" fillId="26" borderId="33" xfId="2" applyFont="1" applyFill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168" fontId="33" fillId="0" borderId="33" xfId="0" applyNumberFormat="1" applyFont="1" applyBorder="1" applyAlignment="1">
      <alignment horizontal="center" vertical="center"/>
    </xf>
    <xf numFmtId="165" fontId="33" fillId="0" borderId="33" xfId="2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65" fontId="33" fillId="0" borderId="0" xfId="2" applyFont="1" applyAlignment="1">
      <alignment horizontal="center" vertical="center"/>
    </xf>
    <xf numFmtId="0" fontId="7" fillId="0" borderId="0" xfId="0" applyFont="1"/>
    <xf numFmtId="0" fontId="27" fillId="0" borderId="0" xfId="0" applyFont="1"/>
    <xf numFmtId="14" fontId="7" fillId="0" borderId="0" xfId="0" applyNumberFormat="1" applyFont="1"/>
    <xf numFmtId="16" fontId="0" fillId="0" borderId="0" xfId="0" applyNumberFormat="1"/>
    <xf numFmtId="168" fontId="20" fillId="0" borderId="0" xfId="0" applyNumberFormat="1" applyFont="1" applyAlignment="1">
      <alignment horizontal="center"/>
    </xf>
    <xf numFmtId="168" fontId="20" fillId="0" borderId="0" xfId="0" applyNumberFormat="1" applyFont="1" applyAlignment="1">
      <alignment horizontal="center" vertical="center"/>
    </xf>
    <xf numFmtId="168" fontId="27" fillId="0" borderId="0" xfId="0" applyNumberFormat="1" applyFont="1" applyAlignment="1">
      <alignment horizontal="center"/>
    </xf>
    <xf numFmtId="168" fontId="27" fillId="0" borderId="0" xfId="0" applyNumberFormat="1" applyFont="1" applyAlignment="1">
      <alignment horizontal="center" vertical="center"/>
    </xf>
    <xf numFmtId="14" fontId="27" fillId="0" borderId="0" xfId="0" applyNumberFormat="1" applyFont="1"/>
    <xf numFmtId="172" fontId="27" fillId="0" borderId="0" xfId="0" applyNumberFormat="1" applyFont="1" applyAlignment="1">
      <alignment horizontal="center"/>
    </xf>
    <xf numFmtId="172" fontId="27" fillId="0" borderId="0" xfId="0" applyNumberFormat="1" applyFont="1" applyAlignment="1">
      <alignment horizontal="left" vertical="center"/>
    </xf>
    <xf numFmtId="14" fontId="27" fillId="0" borderId="0" xfId="0" applyNumberFormat="1" applyFont="1" applyAlignment="1">
      <alignment horizontal="center"/>
    </xf>
    <xf numFmtId="14" fontId="27" fillId="0" borderId="0" xfId="0" applyNumberFormat="1" applyFont="1" applyAlignment="1">
      <alignment horizontal="center" vertical="center"/>
    </xf>
    <xf numFmtId="168" fontId="27" fillId="0" borderId="0" xfId="0" applyNumberFormat="1" applyFont="1" applyAlignment="1">
      <alignment horizontal="left" vertical="center"/>
    </xf>
    <xf numFmtId="0" fontId="55" fillId="0" borderId="8" xfId="0" applyFont="1" applyBorder="1" applyAlignment="1">
      <alignment horizontal="center" vertical="center"/>
    </xf>
    <xf numFmtId="166" fontId="55" fillId="0" borderId="8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166" fontId="55" fillId="0" borderId="1" xfId="0" applyNumberFormat="1" applyFont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166" fontId="55" fillId="0" borderId="12" xfId="0" applyNumberFormat="1" applyFont="1" applyBorder="1" applyAlignment="1">
      <alignment horizontal="center" vertical="center"/>
    </xf>
    <xf numFmtId="0" fontId="16" fillId="0" borderId="0" xfId="0" applyFont="1"/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166" fontId="15" fillId="0" borderId="15" xfId="0" applyNumberFormat="1" applyFont="1" applyBorder="1" applyAlignment="1">
      <alignment horizontal="center" vertical="center"/>
    </xf>
    <xf numFmtId="165" fontId="33" fillId="0" borderId="0" xfId="0" applyNumberFormat="1" applyFont="1"/>
    <xf numFmtId="0" fontId="7" fillId="0" borderId="0" xfId="0" applyFont="1" applyAlignment="1">
      <alignment horizontal="center"/>
    </xf>
    <xf numFmtId="0" fontId="26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6" fillId="24" borderId="23" xfId="0" applyFont="1" applyFill="1" applyBorder="1" applyAlignment="1">
      <alignment horizontal="center"/>
    </xf>
    <xf numFmtId="0" fontId="6" fillId="24" borderId="32" xfId="0" applyFont="1" applyFill="1" applyBorder="1" applyAlignment="1">
      <alignment horizontal="center"/>
    </xf>
    <xf numFmtId="0" fontId="56" fillId="24" borderId="32" xfId="3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168" fontId="6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26" fillId="7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9" fillId="0" borderId="11" xfId="0" applyFont="1" applyBorder="1"/>
    <xf numFmtId="0" fontId="10" fillId="0" borderId="7" xfId="0" applyFont="1" applyBorder="1" applyAlignment="1">
      <alignment horizontal="center" vertical="center"/>
    </xf>
    <xf numFmtId="0" fontId="9" fillId="0" borderId="6" xfId="0" applyFont="1" applyBorder="1"/>
    <xf numFmtId="0" fontId="10" fillId="0" borderId="13" xfId="0" applyFont="1" applyBorder="1" applyAlignment="1">
      <alignment horizontal="center" vertical="center"/>
    </xf>
    <xf numFmtId="0" fontId="9" fillId="0" borderId="14" xfId="0" applyFont="1" applyBorder="1"/>
    <xf numFmtId="0" fontId="21" fillId="7" borderId="15" xfId="0" applyFont="1" applyFill="1" applyBorder="1" applyAlignment="1">
      <alignment horizontal="center"/>
    </xf>
    <xf numFmtId="0" fontId="26" fillId="7" borderId="0" xfId="0" applyFont="1" applyFill="1" applyAlignment="1">
      <alignment horizontal="center" vertical="center"/>
    </xf>
    <xf numFmtId="165" fontId="33" fillId="0" borderId="34" xfId="2" applyFont="1" applyBorder="1" applyAlignment="1">
      <alignment horizontal="center" vertical="center"/>
    </xf>
    <xf numFmtId="165" fontId="33" fillId="0" borderId="35" xfId="2" applyFont="1" applyBorder="1" applyAlignment="1">
      <alignment horizontal="center" vertical="center"/>
    </xf>
    <xf numFmtId="0" fontId="40" fillId="10" borderId="1" xfId="0" applyFont="1" applyFill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36" fillId="25" borderId="33" xfId="0" applyFont="1" applyFill="1" applyBorder="1" applyAlignment="1">
      <alignment horizontal="center" vertical="center"/>
    </xf>
    <xf numFmtId="0" fontId="51" fillId="7" borderId="0" xfId="0" applyFont="1" applyFill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center" vertical="center"/>
    </xf>
    <xf numFmtId="173" fontId="27" fillId="0" borderId="0" xfId="0" applyNumberFormat="1" applyFont="1" applyAlignment="1">
      <alignment horizontal="center" vertical="center"/>
    </xf>
    <xf numFmtId="0" fontId="0" fillId="9" borderId="28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73" fontId="27" fillId="0" borderId="0" xfId="0" applyNumberFormat="1" applyFont="1" applyAlignment="1">
      <alignment horizontal="center"/>
    </xf>
    <xf numFmtId="0" fontId="39" fillId="15" borderId="7" xfId="0" applyFont="1" applyFill="1" applyBorder="1" applyAlignment="1">
      <alignment horizontal="center" vertical="center"/>
    </xf>
    <xf numFmtId="0" fontId="52" fillId="15" borderId="3" xfId="0" applyFont="1" applyFill="1" applyBorder="1" applyAlignment="1">
      <alignment vertical="center"/>
    </xf>
    <xf numFmtId="0" fontId="52" fillId="15" borderId="6" xfId="0" applyFont="1" applyFill="1" applyBorder="1" applyAlignment="1">
      <alignment vertical="center"/>
    </xf>
    <xf numFmtId="0" fontId="39" fillId="0" borderId="7" xfId="0" applyFont="1" applyBorder="1" applyAlignment="1">
      <alignment horizontal="center" vertical="center"/>
    </xf>
    <xf numFmtId="0" fontId="52" fillId="0" borderId="3" xfId="0" applyFont="1" applyBorder="1" applyAlignment="1">
      <alignment vertical="center"/>
    </xf>
    <xf numFmtId="0" fontId="52" fillId="0" borderId="6" xfId="0" applyFont="1" applyBorder="1" applyAlignment="1">
      <alignment vertical="center"/>
    </xf>
    <xf numFmtId="0" fontId="39" fillId="0" borderId="3" xfId="0" applyFont="1" applyBorder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wrapText="1"/>
    </xf>
    <xf numFmtId="0" fontId="14" fillId="0" borderId="7" xfId="0" applyFont="1" applyBorder="1" applyAlignment="1">
      <alignment horizontal="center"/>
    </xf>
    <xf numFmtId="0" fontId="9" fillId="0" borderId="9" xfId="0" applyFont="1" applyBorder="1"/>
    <xf numFmtId="0" fontId="12" fillId="2" borderId="5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5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40" fillId="17" borderId="5" xfId="0" applyFont="1" applyFill="1" applyBorder="1" applyAlignment="1">
      <alignment horizontal="center" vertical="center"/>
    </xf>
    <xf numFmtId="0" fontId="40" fillId="17" borderId="11" xfId="0" applyFont="1" applyFill="1" applyBorder="1" applyAlignment="1">
      <alignment horizontal="center" vertical="center"/>
    </xf>
    <xf numFmtId="0" fontId="35" fillId="15" borderId="24" xfId="0" applyFont="1" applyFill="1" applyBorder="1" applyAlignment="1">
      <alignment horizontal="center" vertical="center"/>
    </xf>
    <xf numFmtId="0" fontId="35" fillId="15" borderId="20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50" fillId="0" borderId="21" xfId="0" applyFont="1" applyBorder="1" applyAlignment="1">
      <alignment horizontal="center" vertical="center"/>
    </xf>
    <xf numFmtId="0" fontId="50" fillId="0" borderId="22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35" fillId="15" borderId="21" xfId="0" applyFont="1" applyFill="1" applyBorder="1" applyAlignment="1">
      <alignment horizontal="center" vertical="center"/>
    </xf>
    <xf numFmtId="0" fontId="35" fillId="15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39" fillId="0" borderId="1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43" fillId="9" borderId="1" xfId="0" applyFont="1" applyFill="1" applyBorder="1" applyAlignment="1">
      <alignment horizontal="center" vertical="center"/>
    </xf>
    <xf numFmtId="44" fontId="43" fillId="9" borderId="1" xfId="0" applyNumberFormat="1" applyFont="1" applyFill="1" applyBorder="1" applyAlignment="1">
      <alignment horizontal="center" vertical="center"/>
    </xf>
    <xf numFmtId="0" fontId="44" fillId="9" borderId="3" xfId="0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">
    <cellStyle name="Hiperligação" xfId="3" builtinId="8"/>
    <cellStyle name="Moeda" xfId="2" builtinId="4"/>
    <cellStyle name="Normal" xfId="0" builtinId="0"/>
    <cellStyle name="Percentagem" xfId="1" builtinId="5"/>
  </cellStyles>
  <dxfs count="578"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auto="1"/>
      </font>
      <fill>
        <patternFill>
          <bgColor theme="6"/>
        </patternFill>
      </fill>
    </dxf>
    <dxf>
      <font>
        <b/>
        <i val="0"/>
        <color theme="9" tint="-0.499984740745262"/>
      </font>
      <fill>
        <patternFill>
          <bgColor rgb="FFE3C7AB"/>
        </patternFill>
      </fill>
    </dxf>
    <dxf>
      <font>
        <b/>
        <i val="0"/>
        <color theme="7" tint="-0.499984740745262"/>
      </font>
      <fill>
        <patternFill>
          <bgColor rgb="FFFFFFA7"/>
        </patternFill>
      </fill>
      <border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8" formatCode="#,##0.00\ &quot;€&quot;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00,000,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1" formatCode="dd\-mm\-yyyy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numFmt numFmtId="166" formatCode="_-* #,##0.00\ &quot;€&quot;_-;\-* #,##0.00\ &quot;€&quot;_-;_-* &quot;-&quot;??\ &quot;€&quot;_-;_-@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6" formatCode="_-* #,##0.00\ &quot;€&quot;_-;\-* #,##0.00\ &quot;€&quot;_-;_-* &quot;-&quot;??\ &quot;€&quot;_-;_-@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  <protection locked="0" hidden="0"/>
    </dxf>
    <dxf>
      <numFmt numFmtId="168" formatCode="#,##0.00\ &quot;€&quot;"/>
      <alignment horizontal="center" vertical="center" textRotation="0" wrapText="0" indent="0" justifyLastLine="0" shrinkToFit="0" readingOrder="0"/>
    </dxf>
    <dxf>
      <numFmt numFmtId="168" formatCode="#,##0.00\ &quot;€&quot;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70" formatCode="000,000,0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71" formatCode="dd\-mm\-yyyy"/>
      <alignment horizontal="center" vertical="center" textRotation="0" wrapText="0" indent="0" justifyLastLine="0" shrinkToFit="0" readingOrder="0"/>
      <protection locked="0" hidden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C9966"/>
      <color rgb="FFC89058"/>
      <color rgb="FFE3C7AB"/>
      <color rgb="FF51D383"/>
      <color rgb="FF5BC95E"/>
      <color rgb="FFFF7171"/>
      <color rgb="FFFF9900"/>
      <color rgb="FFFFFFA7"/>
      <color rgb="FFFFFF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Relationship Id="rId35" Type="http://schemas.microsoft.com/office/2017/06/relationships/rdRichValueTypes" Target="richData/rdRichValueTyp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 algn="ctr" rtl="0">
              <a:defRPr lang="pt-PT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Despesas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000000"/>
              </a:solidFill>
            </a:ln>
          </c:spPr>
          <c:marker>
            <c:symbol val="x"/>
            <c:size val="5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strRef>
              <c:f>Balanço!$E$4:$E$15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Balanço!$G$4:$G$15</c:f>
              <c:numCache>
                <c:formatCode>_-* #\ ##0.00\ "€"_-;\-* #\ ##0.00\ "€"_-;_-* "-"??\ "€"_-;_-@</c:formatCode>
                <c:ptCount val="12"/>
                <c:pt idx="0">
                  <c:v>548.20000000000005</c:v>
                </c:pt>
                <c:pt idx="1">
                  <c:v>545.93999999999994</c:v>
                </c:pt>
                <c:pt idx="2">
                  <c:v>579.33000000000004</c:v>
                </c:pt>
                <c:pt idx="3">
                  <c:v>3637.3500000000004</c:v>
                </c:pt>
                <c:pt idx="4">
                  <c:v>1391.0239999999999</c:v>
                </c:pt>
                <c:pt idx="5">
                  <c:v>1983.3400000000001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412.6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3-4D87-9625-73B24968B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0713869"/>
        <c:axId val="35853031"/>
      </c:lineChart>
      <c:catAx>
        <c:axId val="2010713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chemeClr val="accent2">
                    <a:lumMod val="50000"/>
                  </a:schemeClr>
                </a:solidFill>
                <a:latin typeface="+mn-lt"/>
              </a:defRPr>
            </a:pPr>
            <a:endParaRPr lang="pt-PT"/>
          </a:p>
        </c:txPr>
        <c:crossAx val="35853031"/>
        <c:crosses val="autoZero"/>
        <c:auto val="1"/>
        <c:lblAlgn val="ctr"/>
        <c:lblOffset val="100"/>
        <c:noMultiLvlLbl val="1"/>
      </c:catAx>
      <c:valAx>
        <c:axId val="35853031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crossAx val="2010713869"/>
        <c:crosses val="autoZero"/>
        <c:crossBetween val="between"/>
      </c:valAx>
      <c:spPr>
        <a:noFill/>
        <a:ln w="25400">
          <a:noFill/>
        </a:ln>
      </c:spPr>
    </c:plotArea>
    <c:plotVisOnly val="0"/>
    <c:dispBlanksAs val="zero"/>
    <c:showDLblsOverMax val="1"/>
  </c:chart>
  <c:spPr>
    <a:solidFill>
      <a:schemeClr val="accent1">
        <a:lumMod val="20000"/>
        <a:lumOff val="80000"/>
        <a:alpha val="30000"/>
      </a:schemeClr>
    </a:solidFill>
    <a:ln w="12700">
      <a:solidFill>
        <a:schemeClr val="accent2">
          <a:lumMod val="50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 algn="ctr" rtl="0">
              <a:defRPr lang="pt-PT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Faturação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 algn="ctr" rtl="0">
            <a:defRPr lang="pt-PT" sz="1400" b="1" i="0" u="none" strike="noStrike" kern="120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Balanço!$E$4:$E$15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Balanço!$F$4:$F$15</c:f>
              <c:numCache>
                <c:formatCode>_-* #\ ##0.00\ "€"_-;\-* #\ ##0.00\ "€"_-;_-* "-"??\ "€"_-;_-@</c:formatCode>
                <c:ptCount val="12"/>
                <c:pt idx="0">
                  <c:v>1586.5</c:v>
                </c:pt>
                <c:pt idx="1">
                  <c:v>1084</c:v>
                </c:pt>
                <c:pt idx="2">
                  <c:v>1360.5</c:v>
                </c:pt>
                <c:pt idx="3">
                  <c:v>2014</c:v>
                </c:pt>
                <c:pt idx="4">
                  <c:v>2913</c:v>
                </c:pt>
                <c:pt idx="5">
                  <c:v>2355</c:v>
                </c:pt>
                <c:pt idx="6">
                  <c:v>6620</c:v>
                </c:pt>
                <c:pt idx="7">
                  <c:v>2422.5</c:v>
                </c:pt>
                <c:pt idx="8">
                  <c:v>0</c:v>
                </c:pt>
                <c:pt idx="9">
                  <c:v>0</c:v>
                </c:pt>
                <c:pt idx="10">
                  <c:v>2248.6399999999994</c:v>
                </c:pt>
                <c:pt idx="11">
                  <c:v>4795.8599999999997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716-A429-D4BFCE1AB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71792065"/>
        <c:axId val="2031451901"/>
      </c:barChart>
      <c:catAx>
        <c:axId val="207179206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31451901"/>
        <c:crosses val="autoZero"/>
        <c:auto val="1"/>
        <c:lblAlgn val="ctr"/>
        <c:lblOffset val="100"/>
        <c:noMultiLvlLbl val="1"/>
      </c:catAx>
      <c:valAx>
        <c:axId val="203145190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crossAx val="207179206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zero"/>
    <c:showDLblsOverMax val="1"/>
  </c:chart>
  <c:spPr>
    <a:solidFill>
      <a:schemeClr val="accent4">
        <a:alpha val="30000"/>
      </a:schemeClr>
    </a:solidFill>
    <a:ln w="12700" cap="flat" cmpd="sng" algn="ctr">
      <a:solidFill>
        <a:schemeClr val="accent2">
          <a:lumMod val="50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 algn="ctr" rtl="0">
              <a:defRPr lang="pt-PT" sz="14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Resultado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 algn="ctr" rtl="0">
            <a:defRPr lang="pt-PT" sz="14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Balanço!$E$4:$E$15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Balanço!$N$4:$N$15</c:f>
              <c:numCache>
                <c:formatCode>#\ ##0.00\ "€"</c:formatCode>
                <c:ptCount val="12"/>
                <c:pt idx="0">
                  <c:v>1038.3</c:v>
                </c:pt>
                <c:pt idx="1">
                  <c:v>538.06000000000006</c:v>
                </c:pt>
                <c:pt idx="2">
                  <c:v>781.17</c:v>
                </c:pt>
                <c:pt idx="3">
                  <c:v>#N/A</c:v>
                </c:pt>
                <c:pt idx="4">
                  <c:v>1521.9760000000001</c:v>
                </c:pt>
                <c:pt idx="5">
                  <c:v>371.65999999999985</c:v>
                </c:pt>
                <c:pt idx="6">
                  <c:v>6620</c:v>
                </c:pt>
                <c:pt idx="7">
                  <c:v>2422.5</c:v>
                </c:pt>
                <c:pt idx="8">
                  <c:v>0</c:v>
                </c:pt>
                <c:pt idx="9">
                  <c:v>0</c:v>
                </c:pt>
                <c:pt idx="10">
                  <c:v>1836.0399999999995</c:v>
                </c:pt>
                <c:pt idx="11">
                  <c:v>4795.8599999999997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Positivo</c:v>
                </c15:tx>
              </c15:filteredSeriesTitle>
            </c:ext>
            <c:ext xmlns:c16="http://schemas.microsoft.com/office/drawing/2014/chart" uri="{C3380CC4-5D6E-409C-BE32-E72D297353CC}">
              <c16:uniqueId val="{00000000-4C76-4B99-9AFF-7F39617A8EF3}"/>
            </c:ext>
          </c:extLst>
        </c:ser>
        <c:ser>
          <c:idx val="0"/>
          <c:order val="1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Balanço!$E$4:$E$15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Balanço!$O$4:$O$15</c:f>
              <c:numCache>
                <c:formatCode>#\ ##0.00\ "€"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-1623.3500000000004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Negativo</c:v>
                </c15:tx>
              </c15:filteredSeriesTitle>
            </c:ext>
            <c:ext xmlns:c16="http://schemas.microsoft.com/office/drawing/2014/chart" uri="{C3380CC4-5D6E-409C-BE32-E72D297353CC}">
              <c16:uniqueId val="{00000001-4C76-4B99-9AFF-7F39617A8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47157984"/>
        <c:axId val="1347157504"/>
      </c:barChart>
      <c:catAx>
        <c:axId val="13471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347157504"/>
        <c:crosses val="autoZero"/>
        <c:auto val="1"/>
        <c:lblAlgn val="ctr"/>
        <c:lblOffset val="100"/>
        <c:noMultiLvlLbl val="0"/>
      </c:catAx>
      <c:valAx>
        <c:axId val="1347157504"/>
        <c:scaling>
          <c:orientation val="minMax"/>
        </c:scaling>
        <c:delete val="1"/>
        <c:axPos val="l"/>
        <c:numFmt formatCode="#\ ##0.00\ &quot;€&quot;" sourceLinked="1"/>
        <c:majorTickMark val="none"/>
        <c:minorTickMark val="none"/>
        <c:tickLblPos val="nextTo"/>
        <c:crossAx val="13471579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accent3">
        <a:lumMod val="40000"/>
        <a:lumOff val="60000"/>
        <a:alpha val="30000"/>
      </a:schemeClr>
    </a:solidFill>
    <a:ln w="12700" cap="flat" cmpd="sng" algn="ctr">
      <a:solidFill>
        <a:schemeClr val="accent2">
          <a:lumMod val="50000"/>
        </a:schemeClr>
      </a:solidFill>
      <a:prstDash val="solid"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chemeClr val="accent2">
                    <a:lumMod val="50000"/>
                  </a:schemeClr>
                </a:solidFill>
                <a:latin typeface="+mn-lt"/>
              </a:defRPr>
            </a:pPr>
            <a:r>
              <a:rPr lang="pt-PT" sz="1400" b="1" i="0">
                <a:solidFill>
                  <a:schemeClr val="accent2">
                    <a:lumMod val="50000"/>
                  </a:schemeClr>
                </a:solidFill>
                <a:latin typeface="+mn-lt"/>
              </a:rPr>
              <a:t>Faturação vs Despesas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Balanço!$F$3</c:f>
              <c:strCache>
                <c:ptCount val="1"/>
                <c:pt idx="0">
                  <c:v>Faturação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8575" cmpd="sng">
              <a:noFill/>
            </a:ln>
          </c:spPr>
          <c:invertIfNegative val="0"/>
          <c:cat>
            <c:strRef>
              <c:f>Balanço!$E$4:$E$15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Balanço!$F$4:$F$15</c:f>
              <c:numCache>
                <c:formatCode>_-* #\ ##0.00\ "€"_-;\-* #\ ##0.00\ "€"_-;_-* "-"??\ "€"_-;_-@</c:formatCode>
                <c:ptCount val="12"/>
                <c:pt idx="0">
                  <c:v>1586.5</c:v>
                </c:pt>
                <c:pt idx="1">
                  <c:v>1084</c:v>
                </c:pt>
                <c:pt idx="2">
                  <c:v>1360.5</c:v>
                </c:pt>
                <c:pt idx="3">
                  <c:v>2014</c:v>
                </c:pt>
                <c:pt idx="4">
                  <c:v>2913</c:v>
                </c:pt>
                <c:pt idx="5">
                  <c:v>2355</c:v>
                </c:pt>
                <c:pt idx="6">
                  <c:v>6620</c:v>
                </c:pt>
                <c:pt idx="7">
                  <c:v>2422.5</c:v>
                </c:pt>
                <c:pt idx="8">
                  <c:v>0</c:v>
                </c:pt>
                <c:pt idx="9">
                  <c:v>0</c:v>
                </c:pt>
                <c:pt idx="10">
                  <c:v>2248.6399999999994</c:v>
                </c:pt>
                <c:pt idx="11">
                  <c:v>4795.8599999999997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6-4554-B1EF-960D9DCC6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71792065"/>
        <c:axId val="2031451901"/>
      </c:barChart>
      <c:lineChart>
        <c:grouping val="standard"/>
        <c:varyColors val="0"/>
        <c:ser>
          <c:idx val="1"/>
          <c:order val="1"/>
          <c:tx>
            <c:strRef>
              <c:f>Balanço!$G$3</c:f>
              <c:strCache>
                <c:ptCount val="1"/>
                <c:pt idx="0">
                  <c:v>Despesas</c:v>
                </c:pt>
              </c:strCache>
            </c:strRef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3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strRef>
              <c:f>Balanço!$E$4:$E$15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Balanço!$G$4:$G$15</c:f>
              <c:numCache>
                <c:formatCode>_-* #\ ##0.00\ "€"_-;\-* #\ ##0.00\ "€"_-;_-* "-"??\ "€"_-;_-@</c:formatCode>
                <c:ptCount val="12"/>
                <c:pt idx="0">
                  <c:v>548.20000000000005</c:v>
                </c:pt>
                <c:pt idx="1">
                  <c:v>545.93999999999994</c:v>
                </c:pt>
                <c:pt idx="2">
                  <c:v>579.33000000000004</c:v>
                </c:pt>
                <c:pt idx="3">
                  <c:v>3637.3500000000004</c:v>
                </c:pt>
                <c:pt idx="4">
                  <c:v>1391.0239999999999</c:v>
                </c:pt>
                <c:pt idx="5">
                  <c:v>1983.3400000000001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412.6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6-4554-B1EF-960D9DCC6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792065"/>
        <c:axId val="2031451901"/>
      </c:lineChart>
      <c:catAx>
        <c:axId val="2071792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chemeClr val="accent2">
                    <a:lumMod val="50000"/>
                  </a:schemeClr>
                </a:solidFill>
                <a:latin typeface="+mn-lt"/>
              </a:defRPr>
            </a:pPr>
            <a:endParaRPr lang="pt-PT"/>
          </a:p>
        </c:txPr>
        <c:crossAx val="2031451901"/>
        <c:crosses val="autoZero"/>
        <c:auto val="1"/>
        <c:lblAlgn val="ctr"/>
        <c:lblOffset val="100"/>
        <c:noMultiLvlLbl val="1"/>
      </c:catAx>
      <c:valAx>
        <c:axId val="2031451901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crossAx val="2071792065"/>
        <c:crosses val="autoZero"/>
        <c:crossBetween val="between"/>
      </c:valAx>
      <c:spPr>
        <a:noFill/>
      </c:spPr>
    </c:plotArea>
    <c:plotVisOnly val="0"/>
    <c:dispBlanksAs val="zero"/>
    <c:showDLblsOverMax val="1"/>
  </c:chart>
  <c:spPr>
    <a:solidFill>
      <a:srgbClr val="CC9966">
        <a:alpha val="30000"/>
      </a:srgbClr>
    </a:solidFill>
    <a:ln w="12700">
      <a:solidFill>
        <a:schemeClr val="accent2">
          <a:lumMod val="50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0-4882-99A1-036D93D456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20-4882-99A1-036D93D45606}"/>
              </c:ext>
            </c:extLst>
          </c:dPt>
          <c:cat>
            <c:strRef>
              <c:f>Dashboard!$AA$2:$AA$3</c:f>
              <c:strCache>
                <c:ptCount val="2"/>
                <c:pt idx="0">
                  <c:v>Faturação</c:v>
                </c:pt>
                <c:pt idx="1">
                  <c:v>Despesas</c:v>
                </c:pt>
              </c:strCache>
            </c:strRef>
          </c:cat>
          <c:val>
            <c:numRef>
              <c:f>Dashboard!$AC$2:$AC$3</c:f>
              <c:numCache>
                <c:formatCode>#\ ##0.00\ "€"</c:formatCode>
                <c:ptCount val="2"/>
                <c:pt idx="0">
                  <c:v>27400</c:v>
                </c:pt>
                <c:pt idx="1">
                  <c:v>9097.7839999999997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86-4313-A772-9981C994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[0]!CategoriaTreeMap_abr</cx:f>
      </cx:strDim>
      <cx:numDim type="size">
        <cx:f>[0]!ValoresTreeMap_abr</cx:f>
      </cx:numDim>
    </cx:data>
  </cx:chartData>
  <cx:chart>
    <cx:plotArea>
      <cx:plotAreaRegion>
        <cx:series layoutId="treemap" uniqueId="{BB0D740E-90D2-4A04-88D0-1CAA42CD2AD0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  <cx:dataLabel idx="2"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[0]!CategoriaTreeMap_set</cx:f>
      </cx:strDim>
      <cx:numDim type="size">
        <cx:f>[0]!ValoresTreeMap_set</cx:f>
      </cx:numDim>
    </cx:data>
  </cx:chartData>
  <cx:chart>
    <cx:plotArea>
      <cx:plotAreaRegion>
        <cx:series layoutId="treemap" uniqueId="{BB0D740E-90D2-4A04-88D0-1CAA42CD2AD0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  <cx:dataLabel idx="2"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[0]!CategoriaTreeMap_nov</cx:f>
      </cx:strDim>
      <cx:numDim type="size">
        <cx:f>[0]!ValoresTreeMap_nov</cx:f>
      </cx:numDim>
    </cx:data>
  </cx:chartData>
  <cx:chart>
    <cx:plotArea>
      <cx:plotAreaRegion>
        <cx:series layoutId="treemap" uniqueId="{BB0D740E-90D2-4A04-88D0-1CAA42CD2AD0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  <cx:dataLabel idx="2"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[0]!CategoriaTreeMap_dez</cx:f>
      </cx:strDim>
      <cx:numDim type="size">
        <cx:f>[0]!ValoresTreeMap_dez</cx:f>
      </cx:numDim>
    </cx:data>
  </cx:chartData>
  <cx:chart>
    <cx:plotArea>
      <cx:plotAreaRegion>
        <cx:series layoutId="treemap" uniqueId="{BB0D740E-90D2-4A04-88D0-1CAA42CD2AD0}"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1" value="1"/>
            <cx:separator>, </cx:separator>
            <cx:dataLabel idx="2"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</cx:f>
      </cx:strDim>
      <cx:numDim type="val">
        <cx:f>_xlchart.v5.9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PT" sz="1400" b="1" i="0" u="none" strike="noStrike" kern="1200" spc="0" baseline="0" noProof="0" dirty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Resultado</a:t>
            </a:r>
            <a:r>
              <a:rPr kumimoji="0" lang="pt-PT" sz="1400" b="0" i="0" u="none" strike="noStrike" kern="1200" cap="none" spc="0" normalizeH="0" baseline="0" noProof="0" dirty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  <a:ea typeface="Calibri"/>
                <a:cs typeface="Calibri"/>
              </a:rPr>
              <a:t> </a:t>
            </a:r>
            <a:r>
              <a:rPr lang="pt-PT" sz="1400" b="1" i="0" u="none" strike="noStrike" kern="1200" cap="none" spc="0" baseline="0" noProof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Acumulado</a:t>
            </a:r>
          </a:p>
        </cx:rich>
      </cx:tx>
    </cx:title>
    <cx:plotArea>
      <cx:plotAreaRegion>
        <cx:series layoutId="waterfall" uniqueId="{0F2C545B-0F8A-4FC3-B876-C52201D3ED55}" formatIdx="0">
          <cx:spPr>
            <a:ln>
              <a:noFill/>
            </a:ln>
          </cx:spPr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accent2">
                    <a:lumMod val="50000"/>
                  </a:schemeClr>
                </a:solidFill>
              </a:defRPr>
            </a:pPr>
            <a:endParaRPr lang="pt-PT" sz="900" b="0" i="0" u="none" strike="noStrike" baseline="0">
              <a:solidFill>
                <a:schemeClr val="accent2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cx:txPr>
      </cx:axis>
      <cx:axis id="1" hidden="1">
        <cx:valScaling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accent2">
                  <a:lumMod val="50000"/>
                </a:schemeClr>
              </a:solidFill>
            </a:defRPr>
          </a:pPr>
          <a:endParaRPr lang="pt-PT" sz="900" b="0" i="0" u="none" strike="noStrike" baseline="0">
            <a:solidFill>
              <a:schemeClr val="accent2">
                <a:lumMod val="50000"/>
              </a:schemeClr>
            </a:solidFill>
            <a:latin typeface="Calibri"/>
            <a:ea typeface="Calibri"/>
            <a:cs typeface="Calibri"/>
          </a:endParaRPr>
        </a:p>
      </cx:txPr>
    </cx:legend>
  </cx:chart>
  <cx:spPr>
    <a:noFill/>
    <a:ln w="12700" cap="flat" cmpd="sng" algn="ctr">
      <a:noFill/>
      <a:prstDash val="solid"/>
      <a:miter lim="800000"/>
    </a:ln>
    <a:effectLst/>
  </cx:spPr>
  <cx:fmtOvrs>
    <cx:fmtOvr idx="1">
      <cx:spPr>
        <a:solidFill>
          <a:schemeClr val="accent3">
            <a:lumMod val="20000"/>
            <a:lumOff val="80000"/>
          </a:schemeClr>
        </a:solidFill>
      </cx:spPr>
    </cx:fmtOvr>
    <cx:fmtOvr idx="0">
      <cx:spPr>
        <a:solidFill>
          <a:schemeClr val="accent2">
            <a:lumMod val="75000"/>
          </a:schemeClr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8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fmlaLink="$Z$2" fmlaRange="$Y$2:$Y$13" noThreeD="1" sel="8" val="3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11'!A1"/><Relationship Id="rId13" Type="http://schemas.openxmlformats.org/officeDocument/2006/relationships/hyperlink" Target="#Dashboard!A1"/><Relationship Id="rId3" Type="http://schemas.openxmlformats.org/officeDocument/2006/relationships/hyperlink" Target="#'5'!A1"/><Relationship Id="rId7" Type="http://schemas.openxmlformats.org/officeDocument/2006/relationships/hyperlink" Target="#'3'!A1"/><Relationship Id="rId12" Type="http://schemas.openxmlformats.org/officeDocument/2006/relationships/hyperlink" Target="#'8'!A1"/><Relationship Id="rId2" Type="http://schemas.openxmlformats.org/officeDocument/2006/relationships/hyperlink" Target="#'9'!A1"/><Relationship Id="rId1" Type="http://schemas.openxmlformats.org/officeDocument/2006/relationships/hyperlink" Target="#'1'!A1"/><Relationship Id="rId6" Type="http://schemas.openxmlformats.org/officeDocument/2006/relationships/hyperlink" Target="#'6'!A1"/><Relationship Id="rId11" Type="http://schemas.openxmlformats.org/officeDocument/2006/relationships/hyperlink" Target="#'12'!A1"/><Relationship Id="rId5" Type="http://schemas.openxmlformats.org/officeDocument/2006/relationships/hyperlink" Target="#'10'!A1"/><Relationship Id="rId15" Type="http://schemas.openxmlformats.org/officeDocument/2006/relationships/hyperlink" Target="#Dados!A1"/><Relationship Id="rId10" Type="http://schemas.openxmlformats.org/officeDocument/2006/relationships/hyperlink" Target="#'4'!A1"/><Relationship Id="rId4" Type="http://schemas.openxmlformats.org/officeDocument/2006/relationships/hyperlink" Target="#'2'!A1"/><Relationship Id="rId9" Type="http://schemas.openxmlformats.org/officeDocument/2006/relationships/hyperlink" Target="#'7'!A1"/><Relationship Id="rId14" Type="http://schemas.openxmlformats.org/officeDocument/2006/relationships/hyperlink" Target="#Balan&#231;o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Painel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Painel!A1"/><Relationship Id="rId5" Type="http://schemas.openxmlformats.org/officeDocument/2006/relationships/image" Target="../media/image4.png"/><Relationship Id="rId4" Type="http://schemas.openxmlformats.org/officeDocument/2006/relationships/hyperlink" Target="#Dashboard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Painel!A1"/><Relationship Id="rId5" Type="http://schemas.openxmlformats.org/officeDocument/2006/relationships/image" Target="../media/image4.png"/><Relationship Id="rId4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Painel!A1"/><Relationship Id="rId5" Type="http://schemas.openxmlformats.org/officeDocument/2006/relationships/image" Target="../media/image4.png"/><Relationship Id="rId4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ainel!A1"/><Relationship Id="rId1" Type="http://schemas.microsoft.com/office/2014/relationships/chartEx" Target="../charts/chartEx1.xml"/><Relationship Id="rId6" Type="http://schemas.openxmlformats.org/officeDocument/2006/relationships/image" Target="../media/image4.png"/><Relationship Id="rId5" Type="http://schemas.openxmlformats.org/officeDocument/2006/relationships/hyperlink" Target="#Dashboard!A1"/><Relationship Id="rId4" Type="http://schemas.openxmlformats.org/officeDocument/2006/relationships/image" Target="../media/image3.sv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Painel!A1"/><Relationship Id="rId5" Type="http://schemas.openxmlformats.org/officeDocument/2006/relationships/image" Target="../media/image4.png"/><Relationship Id="rId4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Painel!A1"/><Relationship Id="rId5" Type="http://schemas.openxmlformats.org/officeDocument/2006/relationships/image" Target="../media/image4.png"/><Relationship Id="rId4" Type="http://schemas.openxmlformats.org/officeDocument/2006/relationships/hyperlink" Target="#Dashboard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Painel!A1"/><Relationship Id="rId5" Type="http://schemas.openxmlformats.org/officeDocument/2006/relationships/image" Target="../media/image4.png"/><Relationship Id="rId4" Type="http://schemas.openxmlformats.org/officeDocument/2006/relationships/hyperlink" Target="#Dashboard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Painel!A1"/><Relationship Id="rId5" Type="http://schemas.openxmlformats.org/officeDocument/2006/relationships/image" Target="../media/image4.png"/><Relationship Id="rId4" Type="http://schemas.openxmlformats.org/officeDocument/2006/relationships/hyperlink" Target="#Dashboard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ainel!A1"/><Relationship Id="rId1" Type="http://schemas.microsoft.com/office/2014/relationships/chartEx" Target="../charts/chartEx2.xml"/><Relationship Id="rId6" Type="http://schemas.openxmlformats.org/officeDocument/2006/relationships/image" Target="../media/image4.png"/><Relationship Id="rId5" Type="http://schemas.openxmlformats.org/officeDocument/2006/relationships/hyperlink" Target="#Dashboard!A1"/><Relationship Id="rId4" Type="http://schemas.openxmlformats.org/officeDocument/2006/relationships/image" Target="../media/image3.sv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1.png"/><Relationship Id="rId1" Type="http://schemas.openxmlformats.org/officeDocument/2006/relationships/hyperlink" Target="#Painel!A1"/><Relationship Id="rId5" Type="http://schemas.openxmlformats.org/officeDocument/2006/relationships/image" Target="../media/image4.png"/><Relationship Id="rId4" Type="http://schemas.openxmlformats.org/officeDocument/2006/relationships/hyperlink" Target="#Dashboard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ainel!A1"/><Relationship Id="rId1" Type="http://schemas.microsoft.com/office/2014/relationships/chartEx" Target="../charts/chartEx3.xml"/><Relationship Id="rId6" Type="http://schemas.openxmlformats.org/officeDocument/2006/relationships/image" Target="../media/image4.png"/><Relationship Id="rId5" Type="http://schemas.openxmlformats.org/officeDocument/2006/relationships/hyperlink" Target="#Dashboard!A1"/><Relationship Id="rId4" Type="http://schemas.openxmlformats.org/officeDocument/2006/relationships/image" Target="../media/image3.sv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Painel!A1"/><Relationship Id="rId1" Type="http://schemas.microsoft.com/office/2014/relationships/chartEx" Target="../charts/chartEx4.xml"/><Relationship Id="rId6" Type="http://schemas.openxmlformats.org/officeDocument/2006/relationships/image" Target="../media/image4.png"/><Relationship Id="rId5" Type="http://schemas.openxmlformats.org/officeDocument/2006/relationships/hyperlink" Target="#Dashboard!A1"/><Relationship Id="rId4" Type="http://schemas.openxmlformats.org/officeDocument/2006/relationships/image" Target="../media/image3.sv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#'8'!A1"/><Relationship Id="rId13" Type="http://schemas.openxmlformats.org/officeDocument/2006/relationships/hyperlink" Target="#Painel!A1"/><Relationship Id="rId3" Type="http://schemas.openxmlformats.org/officeDocument/2006/relationships/hyperlink" Target="#'3'!A1"/><Relationship Id="rId7" Type="http://schemas.openxmlformats.org/officeDocument/2006/relationships/hyperlink" Target="#'7'!A1"/><Relationship Id="rId12" Type="http://schemas.openxmlformats.org/officeDocument/2006/relationships/hyperlink" Target="#'12'!A1"/><Relationship Id="rId2" Type="http://schemas.openxmlformats.org/officeDocument/2006/relationships/hyperlink" Target="#'2'!A1"/><Relationship Id="rId1" Type="http://schemas.openxmlformats.org/officeDocument/2006/relationships/hyperlink" Target="#'1'!A1"/><Relationship Id="rId6" Type="http://schemas.openxmlformats.org/officeDocument/2006/relationships/hyperlink" Target="#'6'!A1"/><Relationship Id="rId11" Type="http://schemas.openxmlformats.org/officeDocument/2006/relationships/hyperlink" Target="#'11'!A1"/><Relationship Id="rId5" Type="http://schemas.openxmlformats.org/officeDocument/2006/relationships/hyperlink" Target="#'5'!A1"/><Relationship Id="rId15" Type="http://schemas.openxmlformats.org/officeDocument/2006/relationships/image" Target="../media/image3.svg"/><Relationship Id="rId10" Type="http://schemas.openxmlformats.org/officeDocument/2006/relationships/hyperlink" Target="#'10'!A1"/><Relationship Id="rId4" Type="http://schemas.openxmlformats.org/officeDocument/2006/relationships/hyperlink" Target="#'4'!A1"/><Relationship Id="rId9" Type="http://schemas.openxmlformats.org/officeDocument/2006/relationships/hyperlink" Target="#'9'!A1"/><Relationship Id="rId14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hyperlink" Target="#Dashboard!A1"/><Relationship Id="rId18" Type="http://schemas.openxmlformats.org/officeDocument/2006/relationships/hyperlink" Target="#'9'!A1"/><Relationship Id="rId3" Type="http://schemas.openxmlformats.org/officeDocument/2006/relationships/chart" Target="../charts/chart3.xml"/><Relationship Id="rId21" Type="http://schemas.openxmlformats.org/officeDocument/2006/relationships/hyperlink" Target="#'12'!A1"/><Relationship Id="rId7" Type="http://schemas.openxmlformats.org/officeDocument/2006/relationships/hyperlink" Target="#Painel!A1"/><Relationship Id="rId12" Type="http://schemas.openxmlformats.org/officeDocument/2006/relationships/hyperlink" Target="#'3'!A1"/><Relationship Id="rId17" Type="http://schemas.openxmlformats.org/officeDocument/2006/relationships/hyperlink" Target="#'8'!A1"/><Relationship Id="rId2" Type="http://schemas.openxmlformats.org/officeDocument/2006/relationships/chart" Target="../charts/chart2.xml"/><Relationship Id="rId16" Type="http://schemas.openxmlformats.org/officeDocument/2006/relationships/hyperlink" Target="#'7'!A1"/><Relationship Id="rId20" Type="http://schemas.openxmlformats.org/officeDocument/2006/relationships/hyperlink" Target="#'11'!A1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hyperlink" Target="#'2'!A1"/><Relationship Id="rId5" Type="http://schemas.microsoft.com/office/2014/relationships/chartEx" Target="../charts/chartEx5.xml"/><Relationship Id="rId15" Type="http://schemas.openxmlformats.org/officeDocument/2006/relationships/hyperlink" Target="#'6'!A1"/><Relationship Id="rId10" Type="http://schemas.openxmlformats.org/officeDocument/2006/relationships/hyperlink" Target="#'1'!A1"/><Relationship Id="rId19" Type="http://schemas.openxmlformats.org/officeDocument/2006/relationships/hyperlink" Target="#'10'!A1"/><Relationship Id="rId4" Type="http://schemas.openxmlformats.org/officeDocument/2006/relationships/chart" Target="../charts/chart4.xml"/><Relationship Id="rId9" Type="http://schemas.openxmlformats.org/officeDocument/2006/relationships/image" Target="../media/image3.svg"/><Relationship Id="rId14" Type="http://schemas.openxmlformats.org/officeDocument/2006/relationships/hyperlink" Target="#'5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53340</xdr:rowOff>
    </xdr:from>
    <xdr:to>
      <xdr:col>20</xdr:col>
      <xdr:colOff>99060</xdr:colOff>
      <xdr:row>29</xdr:row>
      <xdr:rowOff>38100</xdr:rowOff>
    </xdr:to>
    <xdr:sp macro="" textlink="">
      <xdr:nvSpPr>
        <xdr:cNvPr id="122" name="Retângulo: Cantos Arredondados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53340"/>
          <a:ext cx="14119860" cy="5386493"/>
        </a:xfrm>
        <a:prstGeom prst="roundRect">
          <a:avLst>
            <a:gd name="adj" fmla="val 4422"/>
          </a:avLst>
        </a:prstGeom>
        <a:solidFill>
          <a:schemeClr val="accent4">
            <a:lumMod val="40000"/>
            <a:lumOff val="6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2000" kern="1200"/>
        </a:p>
      </xdr:txBody>
    </xdr:sp>
    <xdr:clientData/>
  </xdr:twoCellAnchor>
  <xdr:twoCellAnchor>
    <xdr:from>
      <xdr:col>0</xdr:col>
      <xdr:colOff>7620</xdr:colOff>
      <xdr:row>0</xdr:row>
      <xdr:rowOff>0</xdr:rowOff>
    </xdr:from>
    <xdr:to>
      <xdr:col>20</xdr:col>
      <xdr:colOff>106680</xdr:colOff>
      <xdr:row>10</xdr:row>
      <xdr:rowOff>127000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20" y="0"/>
          <a:ext cx="14119860" cy="1989667"/>
        </a:xfrm>
        <a:prstGeom prst="roundRect">
          <a:avLst>
            <a:gd name="adj" fmla="val 4422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 kern="1200"/>
        </a:p>
      </xdr:txBody>
    </xdr:sp>
    <xdr:clientData/>
  </xdr:twoCellAnchor>
  <xdr:twoCellAnchor>
    <xdr:from>
      <xdr:col>0</xdr:col>
      <xdr:colOff>0</xdr:colOff>
      <xdr:row>0</xdr:row>
      <xdr:rowOff>7620</xdr:rowOff>
    </xdr:from>
    <xdr:to>
      <xdr:col>20</xdr:col>
      <xdr:colOff>99060</xdr:colOff>
      <xdr:row>4</xdr:row>
      <xdr:rowOff>83820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7620"/>
          <a:ext cx="14119860" cy="807720"/>
        </a:xfrm>
        <a:prstGeom prst="roundRect">
          <a:avLst>
            <a:gd name="adj" fmla="val 4422"/>
          </a:avLst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 kern="1200"/>
        </a:p>
      </xdr:txBody>
    </xdr:sp>
    <xdr:clientData/>
  </xdr:twoCellAnchor>
  <xdr:twoCellAnchor>
    <xdr:from>
      <xdr:col>2</xdr:col>
      <xdr:colOff>318962</xdr:colOff>
      <xdr:row>5</xdr:row>
      <xdr:rowOff>66888</xdr:rowOff>
    </xdr:from>
    <xdr:to>
      <xdr:col>8</xdr:col>
      <xdr:colOff>517082</xdr:colOff>
      <xdr:row>6</xdr:row>
      <xdr:rowOff>184574</xdr:rowOff>
    </xdr:to>
    <xdr:sp macro="" textlink="Dados!C4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42962" y="1048252"/>
          <a:ext cx="4770120" cy="313958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B7A5EF3-2800-4BF3-B28F-8D2218B917DB}" type="TxLink">
            <a:rPr lang="en-US" sz="14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Bárbara Mello Carvalho</a:t>
          </a:fld>
          <a:endParaRPr lang="pt-PT" sz="18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300951</xdr:colOff>
      <xdr:row>5</xdr:row>
      <xdr:rowOff>78434</xdr:rowOff>
    </xdr:from>
    <xdr:to>
      <xdr:col>2</xdr:col>
      <xdr:colOff>9351</xdr:colOff>
      <xdr:row>6</xdr:row>
      <xdr:rowOff>196120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00951" y="1059798"/>
          <a:ext cx="1232400" cy="313958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kern="1200"/>
            <a:t>Nome:</a:t>
          </a:r>
        </a:p>
      </xdr:txBody>
    </xdr:sp>
    <xdr:clientData/>
  </xdr:twoCellAnchor>
  <xdr:twoCellAnchor>
    <xdr:from>
      <xdr:col>7</xdr:col>
      <xdr:colOff>171873</xdr:colOff>
      <xdr:row>8</xdr:row>
      <xdr:rowOff>13009</xdr:rowOff>
    </xdr:from>
    <xdr:to>
      <xdr:col>10</xdr:col>
      <xdr:colOff>143073</xdr:colOff>
      <xdr:row>9</xdr:row>
      <xdr:rowOff>130695</xdr:rowOff>
    </xdr:to>
    <xdr:sp macro="" textlink="Dados!C6">
      <xdr:nvSpPr>
        <xdr:cNvPr id="5" name="Retângulo: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505873" y="1583191"/>
          <a:ext cx="2257200" cy="313959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87D3A31-B999-4929-8722-0329A5C61A39}" type="TxLink">
            <a:rPr lang="en-US" sz="14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12036056034</a:t>
          </a:fld>
          <a:endParaRPr lang="pt-PT" sz="18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288483</xdr:colOff>
      <xdr:row>8</xdr:row>
      <xdr:rowOff>13010</xdr:rowOff>
    </xdr:from>
    <xdr:to>
      <xdr:col>6</xdr:col>
      <xdr:colOff>758883</xdr:colOff>
      <xdr:row>9</xdr:row>
      <xdr:rowOff>130696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098483" y="1583192"/>
          <a:ext cx="1232400" cy="313959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kern="1200"/>
            <a:t>NISS:</a:t>
          </a:r>
        </a:p>
      </xdr:txBody>
    </xdr:sp>
    <xdr:clientData/>
  </xdr:twoCellAnchor>
  <xdr:twoCellAnchor>
    <xdr:from>
      <xdr:col>2</xdr:col>
      <xdr:colOff>223597</xdr:colOff>
      <xdr:row>8</xdr:row>
      <xdr:rowOff>1464</xdr:rowOff>
    </xdr:from>
    <xdr:to>
      <xdr:col>5</xdr:col>
      <xdr:colOff>42397</xdr:colOff>
      <xdr:row>9</xdr:row>
      <xdr:rowOff>119150</xdr:rowOff>
    </xdr:to>
    <xdr:sp macro="" textlink="Dados!C5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747597" y="1571646"/>
          <a:ext cx="2104800" cy="313959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CE43766-F85E-48CE-935D-C1C946D5B090}" type="TxLink">
            <a:rPr lang="en-US" sz="14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217663923</a:t>
          </a:fld>
          <a:endParaRPr lang="pt-PT" sz="1800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303491</xdr:colOff>
      <xdr:row>8</xdr:row>
      <xdr:rowOff>13010</xdr:rowOff>
    </xdr:from>
    <xdr:to>
      <xdr:col>2</xdr:col>
      <xdr:colOff>11891</xdr:colOff>
      <xdr:row>9</xdr:row>
      <xdr:rowOff>130696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03491" y="1583192"/>
          <a:ext cx="1232400" cy="313959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kern="1200"/>
            <a:t>NIF:</a:t>
          </a:r>
        </a:p>
      </xdr:txBody>
    </xdr:sp>
    <xdr:clientData/>
  </xdr:twoCellAnchor>
  <xdr:twoCellAnchor>
    <xdr:from>
      <xdr:col>9</xdr:col>
      <xdr:colOff>124229</xdr:colOff>
      <xdr:row>5</xdr:row>
      <xdr:rowOff>78434</xdr:rowOff>
    </xdr:from>
    <xdr:to>
      <xdr:col>10</xdr:col>
      <xdr:colOff>747029</xdr:colOff>
      <xdr:row>6</xdr:row>
      <xdr:rowOff>196120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82229" y="1059798"/>
          <a:ext cx="1384800" cy="313958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kern="1200"/>
            <a:t>CAE</a:t>
          </a:r>
        </a:p>
      </xdr:txBody>
    </xdr:sp>
    <xdr:clientData/>
  </xdr:twoCellAnchor>
  <xdr:twoCellAnchor>
    <xdr:from>
      <xdr:col>11</xdr:col>
      <xdr:colOff>348441</xdr:colOff>
      <xdr:row>5</xdr:row>
      <xdr:rowOff>89979</xdr:rowOff>
    </xdr:from>
    <xdr:to>
      <xdr:col>18</xdr:col>
      <xdr:colOff>658090</xdr:colOff>
      <xdr:row>7</xdr:row>
      <xdr:rowOff>11392</xdr:rowOff>
    </xdr:to>
    <xdr:sp macro="" textlink="Dados!C9">
      <xdr:nvSpPr>
        <xdr:cNvPr id="10" name="Retângulo: Cantos Arredondado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730441" y="1071343"/>
          <a:ext cx="5181831" cy="313958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29114CE-A9DC-42F5-BFA7-C4028B62F577}" type="TxLink">
            <a:rPr lang="en-US" sz="14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86906</a:t>
          </a:fld>
          <a:endParaRPr lang="pt-PT" sz="18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583122</xdr:colOff>
      <xdr:row>8</xdr:row>
      <xdr:rowOff>23707</xdr:rowOff>
    </xdr:from>
    <xdr:to>
      <xdr:col>14</xdr:col>
      <xdr:colOff>577086</xdr:colOff>
      <xdr:row>9</xdr:row>
      <xdr:rowOff>138007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203122" y="1593889"/>
          <a:ext cx="2949600" cy="310573"/>
        </a:xfrm>
        <a:prstGeom prst="roundRect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kern="1200"/>
            <a:t>Início</a:t>
          </a:r>
          <a:r>
            <a:rPr lang="pt-PT" sz="1400" kern="1200" baseline="0"/>
            <a:t> Atividade</a:t>
          </a:r>
          <a:r>
            <a:rPr lang="pt-PT" sz="1400" kern="1200"/>
            <a:t>:</a:t>
          </a:r>
        </a:p>
      </xdr:txBody>
    </xdr:sp>
    <xdr:clientData/>
  </xdr:twoCellAnchor>
  <xdr:twoCellAnchor>
    <xdr:from>
      <xdr:col>15</xdr:col>
      <xdr:colOff>243211</xdr:colOff>
      <xdr:row>8</xdr:row>
      <xdr:rowOff>23707</xdr:rowOff>
    </xdr:from>
    <xdr:to>
      <xdr:col>18</xdr:col>
      <xdr:colOff>634447</xdr:colOff>
      <xdr:row>9</xdr:row>
      <xdr:rowOff>138007</xdr:rowOff>
    </xdr:to>
    <xdr:sp macro="" textlink="Dados!C10">
      <xdr:nvSpPr>
        <xdr:cNvPr id="12" name="Retângulo: Cantos Arredondado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1488484" y="1593889"/>
          <a:ext cx="2400145" cy="310573"/>
        </a:xfrm>
        <a:prstGeom prst="roundRect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32E1F37-6EEA-4DAD-BC11-9DE706241117}" type="TxLink">
            <a:rPr lang="en-US" sz="14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07/10/2024</a:t>
          </a:fld>
          <a:endParaRPr lang="pt-PT" sz="1800" b="1" kern="12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353907</xdr:colOff>
      <xdr:row>13</xdr:row>
      <xdr:rowOff>37253</xdr:rowOff>
    </xdr:from>
    <xdr:to>
      <xdr:col>3</xdr:col>
      <xdr:colOff>168507</xdr:colOff>
      <xdr:row>16</xdr:row>
      <xdr:rowOff>33453</xdr:rowOff>
    </xdr:to>
    <xdr:sp macro="" textlink="">
      <xdr:nvSpPr>
        <xdr:cNvPr id="26" name="Retângulo: Cantos Arredondado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53907" y="2458720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Janeiro</a:t>
          </a:r>
        </a:p>
      </xdr:txBody>
    </xdr:sp>
    <xdr:clientData/>
  </xdr:twoCellAnchor>
  <xdr:twoCellAnchor>
    <xdr:from>
      <xdr:col>7</xdr:col>
      <xdr:colOff>391529</xdr:colOff>
      <xdr:row>23</xdr:row>
      <xdr:rowOff>127001</xdr:rowOff>
    </xdr:from>
    <xdr:to>
      <xdr:col>10</xdr:col>
      <xdr:colOff>206129</xdr:colOff>
      <xdr:row>26</xdr:row>
      <xdr:rowOff>123201</xdr:rowOff>
    </xdr:to>
    <xdr:sp macro="" textlink="">
      <xdr:nvSpPr>
        <xdr:cNvPr id="30" name="Retângulo: Cantos Arredondados 2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5192129" y="5681134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Setembro</a:t>
          </a:r>
        </a:p>
      </xdr:txBody>
    </xdr:sp>
    <xdr:clientData/>
  </xdr:twoCellAnchor>
  <xdr:twoCellAnchor>
    <xdr:from>
      <xdr:col>4</xdr:col>
      <xdr:colOff>29818</xdr:colOff>
      <xdr:row>18</xdr:row>
      <xdr:rowOff>82127</xdr:rowOff>
    </xdr:from>
    <xdr:to>
      <xdr:col>6</xdr:col>
      <xdr:colOff>530218</xdr:colOff>
      <xdr:row>21</xdr:row>
      <xdr:rowOff>78327</xdr:rowOff>
    </xdr:to>
    <xdr:sp macro="" textlink="">
      <xdr:nvSpPr>
        <xdr:cNvPr id="34" name="Retângulo: Cantos Arredondados 3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773018" y="4069927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Maio</a:t>
          </a:r>
        </a:p>
      </xdr:txBody>
    </xdr:sp>
    <xdr:clientData/>
  </xdr:twoCellAnchor>
  <xdr:twoCellAnchor>
    <xdr:from>
      <xdr:col>0</xdr:col>
      <xdr:colOff>353907</xdr:colOff>
      <xdr:row>18</xdr:row>
      <xdr:rowOff>82127</xdr:rowOff>
    </xdr:from>
    <xdr:to>
      <xdr:col>3</xdr:col>
      <xdr:colOff>168507</xdr:colOff>
      <xdr:row>21</xdr:row>
      <xdr:rowOff>78327</xdr:rowOff>
    </xdr:to>
    <xdr:sp macro="" textlink="">
      <xdr:nvSpPr>
        <xdr:cNvPr id="60" name="Retângulo: Cantos Arredondados 5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353907" y="4069927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Fevereiro</a:t>
          </a:r>
        </a:p>
      </xdr:txBody>
    </xdr:sp>
    <xdr:clientData/>
  </xdr:twoCellAnchor>
  <xdr:twoCellAnchor>
    <xdr:from>
      <xdr:col>11</xdr:col>
      <xdr:colOff>67440</xdr:colOff>
      <xdr:row>13</xdr:row>
      <xdr:rowOff>37253</xdr:rowOff>
    </xdr:from>
    <xdr:to>
      <xdr:col>13</xdr:col>
      <xdr:colOff>567840</xdr:colOff>
      <xdr:row>16</xdr:row>
      <xdr:rowOff>33453</xdr:rowOff>
    </xdr:to>
    <xdr:sp macro="" textlink="">
      <xdr:nvSpPr>
        <xdr:cNvPr id="61" name="Retângulo: Cantos Arredondados 6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611240" y="2458720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Outubro</a:t>
          </a:r>
        </a:p>
      </xdr:txBody>
    </xdr:sp>
    <xdr:clientData/>
  </xdr:twoCellAnchor>
  <xdr:twoCellAnchor>
    <xdr:from>
      <xdr:col>4</xdr:col>
      <xdr:colOff>29818</xdr:colOff>
      <xdr:row>23</xdr:row>
      <xdr:rowOff>127001</xdr:rowOff>
    </xdr:from>
    <xdr:to>
      <xdr:col>6</xdr:col>
      <xdr:colOff>530218</xdr:colOff>
      <xdr:row>26</xdr:row>
      <xdr:rowOff>123201</xdr:rowOff>
    </xdr:to>
    <xdr:sp macro="" textlink="">
      <xdr:nvSpPr>
        <xdr:cNvPr id="62" name="Retângulo: Cantos Arredondados 6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773018" y="5681134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Junho</a:t>
          </a:r>
        </a:p>
      </xdr:txBody>
    </xdr:sp>
    <xdr:clientData/>
  </xdr:twoCellAnchor>
  <xdr:twoCellAnchor>
    <xdr:from>
      <xdr:col>0</xdr:col>
      <xdr:colOff>353907</xdr:colOff>
      <xdr:row>23</xdr:row>
      <xdr:rowOff>127001</xdr:rowOff>
    </xdr:from>
    <xdr:to>
      <xdr:col>3</xdr:col>
      <xdr:colOff>168507</xdr:colOff>
      <xdr:row>26</xdr:row>
      <xdr:rowOff>123201</xdr:rowOff>
    </xdr:to>
    <xdr:sp macro="" textlink="">
      <xdr:nvSpPr>
        <xdr:cNvPr id="63" name="Retângulo: Cantos Arredondados 6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353907" y="5681134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Março</a:t>
          </a:r>
        </a:p>
      </xdr:txBody>
    </xdr:sp>
    <xdr:clientData/>
  </xdr:twoCellAnchor>
  <xdr:twoCellAnchor>
    <xdr:from>
      <xdr:col>11</xdr:col>
      <xdr:colOff>67440</xdr:colOff>
      <xdr:row>18</xdr:row>
      <xdr:rowOff>82127</xdr:rowOff>
    </xdr:from>
    <xdr:to>
      <xdr:col>13</xdr:col>
      <xdr:colOff>567840</xdr:colOff>
      <xdr:row>21</xdr:row>
      <xdr:rowOff>78327</xdr:rowOff>
    </xdr:to>
    <xdr:sp macro="" textlink="">
      <xdr:nvSpPr>
        <xdr:cNvPr id="64" name="Retângulo: Cantos Arredondados 6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7611240" y="4069927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Novembro</a:t>
          </a:r>
        </a:p>
      </xdr:txBody>
    </xdr:sp>
    <xdr:clientData/>
  </xdr:twoCellAnchor>
  <xdr:twoCellAnchor>
    <xdr:from>
      <xdr:col>7</xdr:col>
      <xdr:colOff>391529</xdr:colOff>
      <xdr:row>13</xdr:row>
      <xdr:rowOff>37253</xdr:rowOff>
    </xdr:from>
    <xdr:to>
      <xdr:col>10</xdr:col>
      <xdr:colOff>206129</xdr:colOff>
      <xdr:row>16</xdr:row>
      <xdr:rowOff>33453</xdr:rowOff>
    </xdr:to>
    <xdr:sp macro="" textlink="">
      <xdr:nvSpPr>
        <xdr:cNvPr id="65" name="Retângulo: Cantos Arredondados 6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5192129" y="2458720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Julho</a:t>
          </a:r>
        </a:p>
      </xdr:txBody>
    </xdr:sp>
    <xdr:clientData/>
  </xdr:twoCellAnchor>
  <xdr:twoCellAnchor>
    <xdr:from>
      <xdr:col>4</xdr:col>
      <xdr:colOff>29818</xdr:colOff>
      <xdr:row>13</xdr:row>
      <xdr:rowOff>37253</xdr:rowOff>
    </xdr:from>
    <xdr:to>
      <xdr:col>6</xdr:col>
      <xdr:colOff>530218</xdr:colOff>
      <xdr:row>16</xdr:row>
      <xdr:rowOff>33453</xdr:rowOff>
    </xdr:to>
    <xdr:sp macro="" textlink="">
      <xdr:nvSpPr>
        <xdr:cNvPr id="66" name="Retângulo: Cantos Arredondados 6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773018" y="2458720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Abril</a:t>
          </a:r>
        </a:p>
      </xdr:txBody>
    </xdr:sp>
    <xdr:clientData/>
  </xdr:twoCellAnchor>
  <xdr:twoCellAnchor>
    <xdr:from>
      <xdr:col>11</xdr:col>
      <xdr:colOff>67440</xdr:colOff>
      <xdr:row>23</xdr:row>
      <xdr:rowOff>127001</xdr:rowOff>
    </xdr:from>
    <xdr:to>
      <xdr:col>13</xdr:col>
      <xdr:colOff>567840</xdr:colOff>
      <xdr:row>26</xdr:row>
      <xdr:rowOff>123201</xdr:rowOff>
    </xdr:to>
    <xdr:sp macro="" textlink="">
      <xdr:nvSpPr>
        <xdr:cNvPr id="67" name="Retângulo: Cantos Arredondados 6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7611240" y="5681134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Dezembro</a:t>
          </a:r>
        </a:p>
      </xdr:txBody>
    </xdr:sp>
    <xdr:clientData/>
  </xdr:twoCellAnchor>
  <xdr:twoCellAnchor>
    <xdr:from>
      <xdr:col>7</xdr:col>
      <xdr:colOff>391529</xdr:colOff>
      <xdr:row>18</xdr:row>
      <xdr:rowOff>82127</xdr:rowOff>
    </xdr:from>
    <xdr:to>
      <xdr:col>10</xdr:col>
      <xdr:colOff>206129</xdr:colOff>
      <xdr:row>21</xdr:row>
      <xdr:rowOff>78327</xdr:rowOff>
    </xdr:to>
    <xdr:sp macro="" textlink="">
      <xdr:nvSpPr>
        <xdr:cNvPr id="68" name="Retângulo: Cantos Arredondados 6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5192129" y="4069927"/>
          <a:ext cx="1872000" cy="93600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 cap="none" spc="0">
              <a:ln w="0"/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Agosto</a:t>
          </a:r>
        </a:p>
      </xdr:txBody>
    </xdr:sp>
    <xdr:clientData/>
  </xdr:twoCellAnchor>
  <xdr:twoCellAnchor>
    <xdr:from>
      <xdr:col>2</xdr:col>
      <xdr:colOff>365760</xdr:colOff>
      <xdr:row>0</xdr:row>
      <xdr:rowOff>129540</xdr:rowOff>
    </xdr:from>
    <xdr:to>
      <xdr:col>19</xdr:col>
      <xdr:colOff>0</xdr:colOff>
      <xdr:row>3</xdr:row>
      <xdr:rowOff>76200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584960" y="129540"/>
          <a:ext cx="1034796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2800" b="1" kern="1200">
              <a:solidFill>
                <a:schemeClr val="bg2"/>
              </a:solidFill>
              <a:latin typeface="Book Antiqua" panose="02040602050305030304" pitchFamily="18" charset="0"/>
            </a:rPr>
            <a:t>Painel Financeiro</a:t>
          </a:r>
        </a:p>
      </xdr:txBody>
    </xdr:sp>
    <xdr:clientData/>
  </xdr:twoCellAnchor>
  <xdr:twoCellAnchor>
    <xdr:from>
      <xdr:col>14</xdr:col>
      <xdr:colOff>513817</xdr:colOff>
      <xdr:row>18</xdr:row>
      <xdr:rowOff>82127</xdr:rowOff>
    </xdr:from>
    <xdr:to>
      <xdr:col>17</xdr:col>
      <xdr:colOff>582417</xdr:colOff>
      <xdr:row>21</xdr:row>
      <xdr:rowOff>78327</xdr:rowOff>
    </xdr:to>
    <xdr:sp macro="" textlink="">
      <xdr:nvSpPr>
        <xdr:cNvPr id="24" name="Retângulo: Cantos Arredondados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0030350" y="4069927"/>
          <a:ext cx="1872000" cy="936000"/>
        </a:xfrm>
        <a:prstGeom prst="roundRect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2000" b="1" kern="1200"/>
            <a:t>Dashboad</a:t>
          </a:r>
        </a:p>
      </xdr:txBody>
    </xdr:sp>
    <xdr:clientData/>
  </xdr:twoCellAnchor>
  <xdr:twoCellAnchor>
    <xdr:from>
      <xdr:col>14</xdr:col>
      <xdr:colOff>513817</xdr:colOff>
      <xdr:row>13</xdr:row>
      <xdr:rowOff>37253</xdr:rowOff>
    </xdr:from>
    <xdr:to>
      <xdr:col>17</xdr:col>
      <xdr:colOff>582417</xdr:colOff>
      <xdr:row>16</xdr:row>
      <xdr:rowOff>33453</xdr:rowOff>
    </xdr:to>
    <xdr:sp macro="" textlink="">
      <xdr:nvSpPr>
        <xdr:cNvPr id="25" name="Retângulo: Cantos Arredondados 5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0030350" y="2458720"/>
          <a:ext cx="1872000" cy="936000"/>
        </a:xfrm>
        <a:prstGeom prst="roundRect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Balanço</a:t>
          </a:r>
        </a:p>
      </xdr:txBody>
    </xdr:sp>
    <xdr:clientData/>
  </xdr:twoCellAnchor>
  <xdr:twoCellAnchor>
    <xdr:from>
      <xdr:col>14</xdr:col>
      <xdr:colOff>513817</xdr:colOff>
      <xdr:row>23</xdr:row>
      <xdr:rowOff>127001</xdr:rowOff>
    </xdr:from>
    <xdr:to>
      <xdr:col>17</xdr:col>
      <xdr:colOff>582417</xdr:colOff>
      <xdr:row>26</xdr:row>
      <xdr:rowOff>123201</xdr:rowOff>
    </xdr:to>
    <xdr:sp macro="" textlink="">
      <xdr:nvSpPr>
        <xdr:cNvPr id="27" name="Retângulo: Cantos Arredondados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0030350" y="5681134"/>
          <a:ext cx="1872000" cy="936000"/>
        </a:xfrm>
        <a:prstGeom prst="roundRect">
          <a:avLst/>
        </a:prstGeom>
        <a:solidFill>
          <a:schemeClr val="accent3">
            <a:lumMod val="75000"/>
          </a:schemeClr>
        </a:solidFill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2000" b="1" kern="1200">
              <a:solidFill>
                <a:schemeClr val="bg1"/>
              </a:solidFill>
              <a:latin typeface="+mn-lt"/>
              <a:ea typeface="+mn-ea"/>
              <a:cs typeface="+mn-cs"/>
            </a:rPr>
            <a:t>Dados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742389</xdr:colOff>
      <xdr:row>0</xdr:row>
      <xdr:rowOff>756434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742389" cy="7564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190500" y="68580"/>
          <a:ext cx="1686495" cy="766731"/>
          <a:chOff x="7620000" y="5250180"/>
          <a:chExt cx="1724595" cy="766731"/>
        </a:xfrm>
      </xdr:grpSpPr>
      <xdr:pic>
        <xdr:nvPicPr>
          <xdr:cNvPr id="2" name="Gráfico 1" descr="Casa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4" name="Imagem 3" descr="Dashboard - Free electronics icons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190500" y="68580"/>
          <a:ext cx="2056609" cy="766731"/>
          <a:chOff x="7620000" y="5250180"/>
          <a:chExt cx="1724595" cy="766731"/>
        </a:xfrm>
      </xdr:grpSpPr>
      <xdr:pic>
        <xdr:nvPicPr>
          <xdr:cNvPr id="5" name="Gráfico 4" descr="Casa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6" name="Imagem 5" descr="Dashboard - Free electronics icons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190500" y="68580"/>
          <a:ext cx="1711895" cy="766731"/>
          <a:chOff x="7620000" y="5250180"/>
          <a:chExt cx="1724595" cy="766731"/>
        </a:xfrm>
      </xdr:grpSpPr>
      <xdr:pic>
        <xdr:nvPicPr>
          <xdr:cNvPr id="5" name="Gráfico 4" descr="Casa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6" name="Imagem 5" descr="Dashboard - Free electronics icons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8192</xdr:colOff>
      <xdr:row>24</xdr:row>
      <xdr:rowOff>0</xdr:rowOff>
    </xdr:from>
    <xdr:to>
      <xdr:col>7</xdr:col>
      <xdr:colOff>382892</xdr:colOff>
      <xdr:row>24</xdr:row>
      <xdr:rowOff>1228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0000000-0008-0000-06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572" y="7299960"/>
              <a:ext cx="4680000" cy="12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190500" y="68580"/>
          <a:ext cx="1732215" cy="766731"/>
          <a:chOff x="7620000" y="5250180"/>
          <a:chExt cx="1724595" cy="766731"/>
        </a:xfrm>
      </xdr:grpSpPr>
      <xdr:pic>
        <xdr:nvPicPr>
          <xdr:cNvPr id="7" name="Gráfico 6" descr="Casa com preenchimento sólido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8" name="Imagem 7" descr="Dashboard - Free electronics icons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pSpPr/>
      </xdr:nvGrpSpPr>
      <xdr:grpSpPr>
        <a:xfrm>
          <a:off x="190500" y="68580"/>
          <a:ext cx="1711895" cy="766731"/>
          <a:chOff x="7620000" y="5250180"/>
          <a:chExt cx="1724595" cy="766731"/>
        </a:xfrm>
      </xdr:grpSpPr>
      <xdr:pic>
        <xdr:nvPicPr>
          <xdr:cNvPr id="7" name="Gráfico 6" descr="Casa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8" name="Imagem 7" descr="Dashboard - Free electronics icons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pSpPr/>
      </xdr:nvGrpSpPr>
      <xdr:grpSpPr>
        <a:xfrm>
          <a:off x="190500" y="68580"/>
          <a:ext cx="1711895" cy="766731"/>
          <a:chOff x="7620000" y="5250180"/>
          <a:chExt cx="1724595" cy="766731"/>
        </a:xfrm>
      </xdr:grpSpPr>
      <xdr:pic>
        <xdr:nvPicPr>
          <xdr:cNvPr id="7" name="Gráfico 6" descr="Casa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8" name="Imagem 7" descr="Dashboard - Free electronics icons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190500" y="68580"/>
          <a:ext cx="1711895" cy="766731"/>
          <a:chOff x="7620000" y="5250180"/>
          <a:chExt cx="1724595" cy="766731"/>
        </a:xfrm>
      </xdr:grpSpPr>
      <xdr:pic>
        <xdr:nvPicPr>
          <xdr:cNvPr id="5" name="Gráfico 4" descr="Casa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6" name="Imagem 5" descr="Dashboard - Free electronics icons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190500" y="68580"/>
          <a:ext cx="1723949" cy="766731"/>
          <a:chOff x="7620000" y="5250180"/>
          <a:chExt cx="1724595" cy="766731"/>
        </a:xfrm>
      </xdr:grpSpPr>
      <xdr:pic>
        <xdr:nvPicPr>
          <xdr:cNvPr id="7" name="Gráfico 6" descr="Casa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8" name="Imagem 7" descr="Dashboard - Free electronics icons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9290</xdr:colOff>
      <xdr:row>24</xdr:row>
      <xdr:rowOff>0</xdr:rowOff>
    </xdr:from>
    <xdr:to>
      <xdr:col>7</xdr:col>
      <xdr:colOff>383990</xdr:colOff>
      <xdr:row>24</xdr:row>
      <xdr:rowOff>1197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0000000-0008-0000-0B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0070" y="7299960"/>
              <a:ext cx="4680000" cy="11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190500" y="68580"/>
          <a:ext cx="1716975" cy="766731"/>
          <a:chOff x="7620000" y="5250180"/>
          <a:chExt cx="1724595" cy="766731"/>
        </a:xfrm>
      </xdr:grpSpPr>
      <xdr:pic>
        <xdr:nvPicPr>
          <xdr:cNvPr id="7" name="Gráfico 6" descr="Casa com preenchimento sólido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8" name="Imagem 7" descr="Dashboard - Free electronics icons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190500" y="68580"/>
          <a:ext cx="1711895" cy="766731"/>
          <a:chOff x="7620000" y="5250180"/>
          <a:chExt cx="1724595" cy="766731"/>
        </a:xfrm>
      </xdr:grpSpPr>
      <xdr:pic>
        <xdr:nvPicPr>
          <xdr:cNvPr id="7" name="Gráfico 6" descr="Casa com preenchimento sólido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8" name="Imagem 7" descr="Dashboard - Free electronics icons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2641</xdr:colOff>
      <xdr:row>24</xdr:row>
      <xdr:rowOff>0</xdr:rowOff>
    </xdr:from>
    <xdr:to>
      <xdr:col>7</xdr:col>
      <xdr:colOff>377341</xdr:colOff>
      <xdr:row>24</xdr:row>
      <xdr:rowOff>2722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0000000-0008-0000-0D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2981" y="7299960"/>
              <a:ext cx="4680000" cy="27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pSpPr/>
      </xdr:nvGrpSpPr>
      <xdr:grpSpPr>
        <a:xfrm>
          <a:off x="190500" y="68580"/>
          <a:ext cx="1711895" cy="766731"/>
          <a:chOff x="7620000" y="5250180"/>
          <a:chExt cx="1724595" cy="766731"/>
        </a:xfrm>
      </xdr:grpSpPr>
      <xdr:pic>
        <xdr:nvPicPr>
          <xdr:cNvPr id="7" name="Gráfico 6" descr="Casa com preenchimento sólido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8" name="Imagem 7" descr="Dashboard - Free electronics icons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4478</xdr:colOff>
      <xdr:row>24</xdr:row>
      <xdr:rowOff>0</xdr:rowOff>
    </xdr:from>
    <xdr:to>
      <xdr:col>7</xdr:col>
      <xdr:colOff>379178</xdr:colOff>
      <xdr:row>24</xdr:row>
      <xdr:rowOff>636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0000000-0008-0000-0E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1998" y="7299960"/>
              <a:ext cx="4680000" cy="6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  <xdr:twoCellAnchor>
    <xdr:from>
      <xdr:col>0</xdr:col>
      <xdr:colOff>190500</xdr:colOff>
      <xdr:row>0</xdr:row>
      <xdr:rowOff>68580</xdr:rowOff>
    </xdr:from>
    <xdr:to>
      <xdr:col>2</xdr:col>
      <xdr:colOff>429195</xdr:colOff>
      <xdr:row>0</xdr:row>
      <xdr:rowOff>835311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pSpPr/>
      </xdr:nvGrpSpPr>
      <xdr:grpSpPr>
        <a:xfrm>
          <a:off x="190500" y="68580"/>
          <a:ext cx="1719152" cy="766731"/>
          <a:chOff x="7620000" y="5250180"/>
          <a:chExt cx="1724595" cy="766731"/>
        </a:xfrm>
      </xdr:grpSpPr>
      <xdr:pic>
        <xdr:nvPicPr>
          <xdr:cNvPr id="7" name="Gráfico 6" descr="Casa com preenchimento sólido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7620000" y="5257800"/>
            <a:ext cx="710121" cy="678763"/>
          </a:xfrm>
          <a:prstGeom prst="rect">
            <a:avLst/>
          </a:prstGeom>
        </xdr:spPr>
      </xdr:pic>
      <xdr:pic>
        <xdr:nvPicPr>
          <xdr:cNvPr id="8" name="Imagem 7" descr="Dashboard - Free electronics icons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87740" y="5250180"/>
            <a:ext cx="756855" cy="76673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55140</xdr:colOff>
      <xdr:row>3</xdr:row>
      <xdr:rowOff>6687</xdr:rowOff>
    </xdr:from>
    <xdr:to>
      <xdr:col>0</xdr:col>
      <xdr:colOff>593235</xdr:colOff>
      <xdr:row>4</xdr:row>
      <xdr:rowOff>217801</xdr:rowOff>
    </xdr:to>
    <xdr:sp macro="" textlink="">
      <xdr:nvSpPr>
        <xdr:cNvPr id="2" name="Retângulo: Cantos Arredondado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55140" y="1708049"/>
          <a:ext cx="538095" cy="53299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100" b="1" kern="1200"/>
            <a:t>1</a:t>
          </a:r>
        </a:p>
      </xdr:txBody>
    </xdr:sp>
    <xdr:clientData/>
  </xdr:twoCellAnchor>
  <xdr:twoCellAnchor>
    <xdr:from>
      <xdr:col>0</xdr:col>
      <xdr:colOff>663523</xdr:colOff>
      <xdr:row>3</xdr:row>
      <xdr:rowOff>6687</xdr:rowOff>
    </xdr:from>
    <xdr:to>
      <xdr:col>1</xdr:col>
      <xdr:colOff>209113</xdr:colOff>
      <xdr:row>4</xdr:row>
      <xdr:rowOff>217801</xdr:rowOff>
    </xdr:to>
    <xdr:sp macro="" textlink="">
      <xdr:nvSpPr>
        <xdr:cNvPr id="3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663523" y="1708049"/>
          <a:ext cx="537504" cy="53299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</xdr:col>
      <xdr:colOff>288925</xdr:colOff>
      <xdr:row>2</xdr:row>
      <xdr:rowOff>550334</xdr:rowOff>
    </xdr:from>
    <xdr:to>
      <xdr:col>1</xdr:col>
      <xdr:colOff>963083</xdr:colOff>
      <xdr:row>4</xdr:row>
      <xdr:rowOff>217801</xdr:rowOff>
    </xdr:to>
    <xdr:sp macro="" textlink="">
      <xdr:nvSpPr>
        <xdr:cNvPr id="5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1389592" y="1703917"/>
          <a:ext cx="674158" cy="556467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0</xdr:col>
      <xdr:colOff>55140</xdr:colOff>
      <xdr:row>5</xdr:row>
      <xdr:rowOff>72006</xdr:rowOff>
    </xdr:from>
    <xdr:to>
      <xdr:col>0</xdr:col>
      <xdr:colOff>593235</xdr:colOff>
      <xdr:row>6</xdr:row>
      <xdr:rowOff>309681</xdr:rowOff>
    </xdr:to>
    <xdr:sp macro="" textlink="">
      <xdr:nvSpPr>
        <xdr:cNvPr id="6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/>
      </xdr:nvSpPr>
      <xdr:spPr>
        <a:xfrm>
          <a:off x="55140" y="2417127"/>
          <a:ext cx="538095" cy="559554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0</xdr:col>
      <xdr:colOff>667332</xdr:colOff>
      <xdr:row>5</xdr:row>
      <xdr:rowOff>72006</xdr:rowOff>
    </xdr:from>
    <xdr:to>
      <xdr:col>1</xdr:col>
      <xdr:colOff>212922</xdr:colOff>
      <xdr:row>6</xdr:row>
      <xdr:rowOff>309681</xdr:rowOff>
    </xdr:to>
    <xdr:sp macro="" textlink="">
      <xdr:nvSpPr>
        <xdr:cNvPr id="7" name="Retângulo: Cantos Arredondados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/>
      </xdr:nvSpPr>
      <xdr:spPr>
        <a:xfrm>
          <a:off x="667332" y="2417127"/>
          <a:ext cx="537504" cy="559554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</xdr:col>
      <xdr:colOff>285115</xdr:colOff>
      <xdr:row>5</xdr:row>
      <xdr:rowOff>74082</xdr:rowOff>
    </xdr:from>
    <xdr:to>
      <xdr:col>1</xdr:col>
      <xdr:colOff>931333</xdr:colOff>
      <xdr:row>6</xdr:row>
      <xdr:rowOff>309680</xdr:rowOff>
    </xdr:to>
    <xdr:sp macro="" textlink="">
      <xdr:nvSpPr>
        <xdr:cNvPr id="8" name="Retângulo: Cantos Arredondados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>
        <a:xfrm>
          <a:off x="1385782" y="2444749"/>
          <a:ext cx="646218" cy="56368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0</xdr:col>
      <xdr:colOff>55140</xdr:colOff>
      <xdr:row>7</xdr:row>
      <xdr:rowOff>142214</xdr:rowOff>
    </xdr:from>
    <xdr:to>
      <xdr:col>0</xdr:col>
      <xdr:colOff>593235</xdr:colOff>
      <xdr:row>9</xdr:row>
      <xdr:rowOff>33244</xdr:rowOff>
    </xdr:to>
    <xdr:sp macro="" textlink="">
      <xdr:nvSpPr>
        <xdr:cNvPr id="9" name="Retângulo: Cantos Arredondado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/>
      </xdr:nvSpPr>
      <xdr:spPr>
        <a:xfrm>
          <a:off x="55140" y="3131093"/>
          <a:ext cx="538095" cy="534789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0</xdr:col>
      <xdr:colOff>667332</xdr:colOff>
      <xdr:row>7</xdr:row>
      <xdr:rowOff>142214</xdr:rowOff>
    </xdr:from>
    <xdr:to>
      <xdr:col>1</xdr:col>
      <xdr:colOff>212922</xdr:colOff>
      <xdr:row>9</xdr:row>
      <xdr:rowOff>33244</xdr:rowOff>
    </xdr:to>
    <xdr:sp macro="" textlink="">
      <xdr:nvSpPr>
        <xdr:cNvPr id="10" name="Retângulo: Cantos Arredondados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667332" y="3131093"/>
          <a:ext cx="537504" cy="534789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</xdr:col>
      <xdr:colOff>285115</xdr:colOff>
      <xdr:row>7</xdr:row>
      <xdr:rowOff>127000</xdr:rowOff>
    </xdr:from>
    <xdr:to>
      <xdr:col>1</xdr:col>
      <xdr:colOff>931333</xdr:colOff>
      <xdr:row>9</xdr:row>
      <xdr:rowOff>33244</xdr:rowOff>
    </xdr:to>
    <xdr:sp macro="" textlink="">
      <xdr:nvSpPr>
        <xdr:cNvPr id="30" name="Retângulo: Cantos Arredondados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/>
      </xdr:nvSpPr>
      <xdr:spPr>
        <a:xfrm>
          <a:off x="1385782" y="3153833"/>
          <a:ext cx="646218" cy="56241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0</xdr:col>
      <xdr:colOff>55140</xdr:colOff>
      <xdr:row>9</xdr:row>
      <xdr:rowOff>183847</xdr:rowOff>
    </xdr:from>
    <xdr:to>
      <xdr:col>0</xdr:col>
      <xdr:colOff>593235</xdr:colOff>
      <xdr:row>11</xdr:row>
      <xdr:rowOff>52016</xdr:rowOff>
    </xdr:to>
    <xdr:sp macro="" textlink="">
      <xdr:nvSpPr>
        <xdr:cNvPr id="31" name="Retângulo: Cantos Arredondados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/>
      </xdr:nvSpPr>
      <xdr:spPr>
        <a:xfrm>
          <a:off x="55140" y="3816485"/>
          <a:ext cx="538095" cy="511928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0</xdr:col>
      <xdr:colOff>664793</xdr:colOff>
      <xdr:row>9</xdr:row>
      <xdr:rowOff>183847</xdr:rowOff>
    </xdr:from>
    <xdr:to>
      <xdr:col>1</xdr:col>
      <xdr:colOff>212288</xdr:colOff>
      <xdr:row>11</xdr:row>
      <xdr:rowOff>52016</xdr:rowOff>
    </xdr:to>
    <xdr:sp macro="" textlink="">
      <xdr:nvSpPr>
        <xdr:cNvPr id="32" name="Retângulo: Cantos Arredondados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/>
      </xdr:nvSpPr>
      <xdr:spPr>
        <a:xfrm>
          <a:off x="664793" y="3816485"/>
          <a:ext cx="539409" cy="511928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1</xdr:col>
      <xdr:colOff>245745</xdr:colOff>
      <xdr:row>9</xdr:row>
      <xdr:rowOff>190499</xdr:rowOff>
    </xdr:from>
    <xdr:to>
      <xdr:col>1</xdr:col>
      <xdr:colOff>931333</xdr:colOff>
      <xdr:row>11</xdr:row>
      <xdr:rowOff>52015</xdr:rowOff>
    </xdr:to>
    <xdr:sp macro="" textlink="">
      <xdr:nvSpPr>
        <xdr:cNvPr id="33" name="Retângulo: Cantos Arredondados 2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/>
      </xdr:nvSpPr>
      <xdr:spPr>
        <a:xfrm>
          <a:off x="1346412" y="3873499"/>
          <a:ext cx="685588" cy="517683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PT" sz="11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710121</xdr:colOff>
      <xdr:row>0</xdr:row>
      <xdr:rowOff>678763</xdr:rowOff>
    </xdr:to>
    <xdr:pic>
      <xdr:nvPicPr>
        <xdr:cNvPr id="4" name="Gráfico 3" descr="Casa com preenchimento sólido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0" y="0"/>
          <a:ext cx="710121" cy="67876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449580</xdr:colOff>
      <xdr:row>39</xdr:row>
      <xdr:rowOff>137160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0" y="0"/>
          <a:ext cx="14295120" cy="7269480"/>
        </a:xfrm>
        <a:prstGeom prst="roundRect">
          <a:avLst>
            <a:gd name="adj" fmla="val 0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 kern="1200"/>
        </a:p>
      </xdr:txBody>
    </xdr:sp>
    <xdr:clientData/>
  </xdr:twoCellAnchor>
  <xdr:oneCellAnchor>
    <xdr:from>
      <xdr:col>3</xdr:col>
      <xdr:colOff>305551</xdr:colOff>
      <xdr:row>9</xdr:row>
      <xdr:rowOff>59236</xdr:rowOff>
    </xdr:from>
    <xdr:ext cx="4032000" cy="2520000"/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154235</xdr:colOff>
      <xdr:row>9</xdr:row>
      <xdr:rowOff>59236</xdr:rowOff>
    </xdr:from>
    <xdr:ext cx="4032000" cy="2520000"/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1600-00000A000000}"/>
            </a:ext>
            <a:ext uri="{147F2762-F138-4A5C-976F-8EAC2B608ADB}">
              <a16:predDERef xmlns:a16="http://schemas.microsoft.com/office/drawing/2014/main" pred="{00000000-0008-0000-0C00-0000459B1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3</xdr:col>
      <xdr:colOff>305551</xdr:colOff>
      <xdr:row>23</xdr:row>
      <xdr:rowOff>163092</xdr:rowOff>
    </xdr:from>
    <xdr:to>
      <xdr:col>11</xdr:col>
      <xdr:colOff>108751</xdr:colOff>
      <xdr:row>38</xdr:row>
      <xdr:rowOff>176170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17</xdr:col>
      <xdr:colOff>2917</xdr:colOff>
      <xdr:row>9</xdr:row>
      <xdr:rowOff>59236</xdr:rowOff>
    </xdr:from>
    <xdr:ext cx="4032000" cy="2520000"/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1600-00000C000000}"/>
            </a:ext>
            <a:ext uri="{147F2762-F138-4A5C-976F-8EAC2B608ADB}">
              <a16:predDERef xmlns:a16="http://schemas.microsoft.com/office/drawing/2014/main" pred="{00000000-0008-0000-0C00-0000459B1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11</xdr:col>
      <xdr:colOff>202079</xdr:colOff>
      <xdr:row>23</xdr:row>
      <xdr:rowOff>163092</xdr:rowOff>
    </xdr:from>
    <xdr:to>
      <xdr:col>19</xdr:col>
      <xdr:colOff>5279</xdr:colOff>
      <xdr:row>38</xdr:row>
      <xdr:rowOff>173680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GrpSpPr/>
      </xdr:nvGrpSpPr>
      <xdr:grpSpPr>
        <a:xfrm>
          <a:off x="6907679" y="4447225"/>
          <a:ext cx="4680000" cy="2804588"/>
          <a:chOff x="6265177" y="3766073"/>
          <a:chExt cx="6400800" cy="3472542"/>
        </a:xfrm>
        <a:solidFill>
          <a:schemeClr val="accent3">
            <a:lumMod val="40000"/>
            <a:lumOff val="60000"/>
          </a:schemeClr>
        </a:solidFill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00000000-0008-0000-1600-00000F000000}"/>
              </a:ext>
            </a:extLst>
          </xdr:cNvPr>
          <xdr:cNvSpPr/>
        </xdr:nvSpPr>
        <xdr:spPr>
          <a:xfrm>
            <a:off x="6265177" y="3766073"/>
            <a:ext cx="6400800" cy="3472542"/>
          </a:xfrm>
          <a:prstGeom prst="roundRect">
            <a:avLst>
              <a:gd name="adj" fmla="val 3727"/>
            </a:avLst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 kern="1200"/>
          </a:p>
        </xdr:txBody>
      </xdr:sp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13" name="Gráfico 12">
                <a:extLst>
                  <a:ext uri="{FF2B5EF4-FFF2-40B4-BE49-F238E27FC236}">
                    <a16:creationId xmlns:a16="http://schemas.microsoft.com/office/drawing/2014/main" id="{00000000-0008-0000-1600-00000D000000}"/>
                  </a:ext>
                </a:extLst>
              </xdr:cNvPr>
              <xdr:cNvGraphicFramePr/>
            </xdr:nvGraphicFramePr>
            <xdr:xfrm>
              <a:off x="6447216" y="3864614"/>
              <a:ext cx="6026844" cy="3258188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5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447216" y="3864614"/>
                <a:ext cx="6026844" cy="325818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PT" sz="1100"/>
                  <a:t>Este gráfico não está disponível na sua versão do Excel.
Editar esta forma ou guardar este livro num formato de ficheiro diferente irá indisponibilizar o gráfico de forma permanente.</a:t>
                </a:r>
              </a:p>
            </xdr:txBody>
          </xdr:sp>
        </mc:Fallback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99060</xdr:colOff>
          <xdr:row>6</xdr:row>
          <xdr:rowOff>53340</xdr:rowOff>
        </xdr:from>
        <xdr:to>
          <xdr:col>5</xdr:col>
          <xdr:colOff>266700</xdr:colOff>
          <xdr:row>7</xdr:row>
          <xdr:rowOff>167640</xdr:rowOff>
        </xdr:to>
        <xdr:sp macro="" textlink="">
          <xdr:nvSpPr>
            <xdr:cNvPr id="23553" name="Drop Down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1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97972</xdr:colOff>
      <xdr:row>6</xdr:row>
      <xdr:rowOff>31284</xdr:rowOff>
    </xdr:from>
    <xdr:to>
      <xdr:col>3</xdr:col>
      <xdr:colOff>14152</xdr:colOff>
      <xdr:row>8</xdr:row>
      <xdr:rowOff>7913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/>
      </xdr:nvSpPr>
      <xdr:spPr>
        <a:xfrm>
          <a:off x="97972" y="1111939"/>
          <a:ext cx="1744980" cy="336847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 i="0" u="none" strike="noStrike" kern="1200">
              <a:solidFill>
                <a:schemeClr val="accent2">
                  <a:lumMod val="50000"/>
                </a:schemeClr>
              </a:solidFill>
              <a:latin typeface="Calibri"/>
              <a:ea typeface="Calibri"/>
              <a:cs typeface="Calibri"/>
            </a:rPr>
            <a:t>Escolha</a:t>
          </a:r>
          <a:r>
            <a:rPr lang="en-US" sz="1600" b="1" i="0" u="none" strike="noStrike" kern="1200" baseline="0">
              <a:solidFill>
                <a:schemeClr val="accent2">
                  <a:lumMod val="50000"/>
                </a:schemeClr>
              </a:solidFill>
              <a:latin typeface="Calibri"/>
              <a:ea typeface="Calibri"/>
              <a:cs typeface="Calibri"/>
            </a:rPr>
            <a:t> o Mês:</a:t>
          </a:r>
          <a:endParaRPr lang="en-US" sz="1600" b="1" i="0" u="none" strike="noStrike" kern="1200">
            <a:solidFill>
              <a:schemeClr val="accent2">
                <a:lumMod val="5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358588</xdr:colOff>
      <xdr:row>0</xdr:row>
      <xdr:rowOff>53789</xdr:rowOff>
    </xdr:from>
    <xdr:to>
      <xdr:col>23</xdr:col>
      <xdr:colOff>353567</xdr:colOff>
      <xdr:row>8</xdr:row>
      <xdr:rowOff>152401</xdr:rowOff>
    </xdr:to>
    <xdr:sp macro="" textlink="">
      <xdr:nvSpPr>
        <xdr:cNvPr id="23562" name="Retângulo: Cantos Arredondados 23561">
          <a:extLst>
            <a:ext uri="{FF2B5EF4-FFF2-40B4-BE49-F238E27FC236}">
              <a16:creationId xmlns:a16="http://schemas.microsoft.com/office/drawing/2014/main" id="{00000000-0008-0000-1600-00000A5C0000}"/>
            </a:ext>
          </a:extLst>
        </xdr:cNvPr>
        <xdr:cNvSpPr/>
      </xdr:nvSpPr>
      <xdr:spPr>
        <a:xfrm>
          <a:off x="3426380" y="53789"/>
          <a:ext cx="11039031" cy="1523651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accent5">
              <a:lumMod val="50000"/>
            </a:schemeClr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 kern="1200"/>
        </a:p>
      </xdr:txBody>
    </xdr:sp>
    <xdr:clientData/>
  </xdr:twoCellAnchor>
  <xdr:twoCellAnchor>
    <xdr:from>
      <xdr:col>0</xdr:col>
      <xdr:colOff>0</xdr:colOff>
      <xdr:row>9</xdr:row>
      <xdr:rowOff>54511</xdr:rowOff>
    </xdr:from>
    <xdr:to>
      <xdr:col>3</xdr:col>
      <xdr:colOff>322697</xdr:colOff>
      <xdr:row>39</xdr:row>
      <xdr:rowOff>16239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pSpPr/>
      </xdr:nvGrpSpPr>
      <xdr:grpSpPr>
        <a:xfrm>
          <a:off x="0" y="1730911"/>
          <a:ext cx="2151497" cy="5549728"/>
          <a:chOff x="258056" y="1894756"/>
          <a:chExt cx="2033211" cy="5453102"/>
        </a:xfrm>
      </xdr:grpSpPr>
      <xdr:sp macro="" textlink="">
        <xdr:nvSpPr>
          <xdr:cNvPr id="59" name="Retângulo: Cantos Arredondados 58">
            <a:extLst>
              <a:ext uri="{FF2B5EF4-FFF2-40B4-BE49-F238E27FC236}">
                <a16:creationId xmlns:a16="http://schemas.microsoft.com/office/drawing/2014/main" id="{00000000-0008-0000-1600-00003B000000}"/>
              </a:ext>
            </a:extLst>
          </xdr:cNvPr>
          <xdr:cNvSpPr/>
        </xdr:nvSpPr>
        <xdr:spPr>
          <a:xfrm>
            <a:off x="327997" y="1894756"/>
            <a:ext cx="1900517" cy="5453102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 w="12700">
            <a:solidFill>
              <a:schemeClr val="accent5">
                <a:lumMod val="50000"/>
              </a:schemeClr>
            </a:solidFill>
          </a:ln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PT" sz="1100" kern="1200"/>
          </a:p>
        </xdr:txBody>
      </xdr:sp>
      <xdr:sp macro="" textlink="">
        <xdr:nvSpPr>
          <xdr:cNvPr id="63" name="CaixaDeTexto 62">
            <a:extLst>
              <a:ext uri="{FF2B5EF4-FFF2-40B4-BE49-F238E27FC236}">
                <a16:creationId xmlns:a16="http://schemas.microsoft.com/office/drawing/2014/main" id="{00000000-0008-0000-1600-00003F000000}"/>
              </a:ext>
            </a:extLst>
          </xdr:cNvPr>
          <xdr:cNvSpPr txBox="1"/>
        </xdr:nvSpPr>
        <xdr:spPr>
          <a:xfrm>
            <a:off x="265244" y="2542198"/>
            <a:ext cx="2026023" cy="3236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 kern="1200">
                <a:solidFill>
                  <a:schemeClr val="accent5">
                    <a:lumMod val="50000"/>
                  </a:schemeClr>
                </a:solidFill>
              </a:rPr>
              <a:t>Prazo Entrega</a:t>
            </a:r>
            <a:r>
              <a:rPr lang="pt-PT" sz="1400" b="1" kern="1200" baseline="0">
                <a:solidFill>
                  <a:schemeClr val="accent5">
                    <a:lumMod val="50000"/>
                  </a:schemeClr>
                </a:solidFill>
              </a:rPr>
              <a:t> IVA</a:t>
            </a:r>
            <a:endParaRPr lang="pt-PT" sz="1400" b="1" kern="1200">
              <a:solidFill>
                <a:schemeClr val="accent5">
                  <a:lumMod val="50000"/>
                </a:schemeClr>
              </a:solidFill>
            </a:endParaRPr>
          </a:p>
        </xdr:txBody>
      </xdr:sp>
      <xdr:sp macro="" textlink="">
        <xdr:nvSpPr>
          <xdr:cNvPr id="23552" name="CaixaDeTexto 23551">
            <a:extLst>
              <a:ext uri="{FF2B5EF4-FFF2-40B4-BE49-F238E27FC236}">
                <a16:creationId xmlns:a16="http://schemas.microsoft.com/office/drawing/2014/main" id="{00000000-0008-0000-1600-0000005C0000}"/>
              </a:ext>
            </a:extLst>
          </xdr:cNvPr>
          <xdr:cNvSpPr txBox="1"/>
        </xdr:nvSpPr>
        <xdr:spPr>
          <a:xfrm>
            <a:off x="258056" y="3250378"/>
            <a:ext cx="2026023" cy="3236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400" b="1" kern="120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Prazo Pagamento IVA</a:t>
            </a:r>
          </a:p>
        </xdr:txBody>
      </xdr:sp>
      <xdr:sp macro="" textlink="">
        <xdr:nvSpPr>
          <xdr:cNvPr id="23554" name="CaixaDeTexto 23553">
            <a:extLst>
              <a:ext uri="{FF2B5EF4-FFF2-40B4-BE49-F238E27FC236}">
                <a16:creationId xmlns:a16="http://schemas.microsoft.com/office/drawing/2014/main" id="{00000000-0008-0000-1600-0000025C0000}"/>
              </a:ext>
            </a:extLst>
          </xdr:cNvPr>
          <xdr:cNvSpPr txBox="1"/>
        </xdr:nvSpPr>
        <xdr:spPr>
          <a:xfrm>
            <a:off x="258056" y="4030288"/>
            <a:ext cx="2026023" cy="3223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PT" sz="1400" b="1" kern="120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Prazo Entrega S.Scoial</a:t>
            </a:r>
          </a:p>
        </xdr:txBody>
      </xdr:sp>
      <xdr:sp macro="" textlink="$AB$16">
        <xdr:nvSpPr>
          <xdr:cNvPr id="23556" name="Retângulo: Cantos Arredondados 23555">
            <a:extLst>
              <a:ext uri="{FF2B5EF4-FFF2-40B4-BE49-F238E27FC236}">
                <a16:creationId xmlns:a16="http://schemas.microsoft.com/office/drawing/2014/main" id="{00000000-0008-0000-1600-0000045C0000}"/>
              </a:ext>
            </a:extLst>
          </xdr:cNvPr>
          <xdr:cNvSpPr/>
        </xdr:nvSpPr>
        <xdr:spPr>
          <a:xfrm>
            <a:off x="420138" y="2884755"/>
            <a:ext cx="1716235" cy="359574"/>
          </a:xfrm>
          <a:prstGeom prst="roundRect">
            <a:avLst/>
          </a:prstGeom>
          <a:solidFill>
            <a:schemeClr val="accent4"/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0955EF64-B961-48CC-AE73-AB25B84BCEB1}" type="TxLink">
              <a:rPr lang="en-US" sz="1400" b="1" i="0" u="none" strike="noStrike" kern="1200">
                <a:solidFill>
                  <a:schemeClr val="accent5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20/11/2025</a:t>
            </a:fld>
            <a:endParaRPr lang="pt-PT" sz="1400" b="1" i="0" u="none" strike="noStrike" kern="1200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$AC$16">
        <xdr:nvSpPr>
          <xdr:cNvPr id="23559" name="Retângulo: Cantos Arredondados 23558">
            <a:extLst>
              <a:ext uri="{FF2B5EF4-FFF2-40B4-BE49-F238E27FC236}">
                <a16:creationId xmlns:a16="http://schemas.microsoft.com/office/drawing/2014/main" id="{00000000-0008-0000-1600-0000075C0000}"/>
              </a:ext>
            </a:extLst>
          </xdr:cNvPr>
          <xdr:cNvSpPr/>
        </xdr:nvSpPr>
        <xdr:spPr>
          <a:xfrm>
            <a:off x="419420" y="3614865"/>
            <a:ext cx="1716235" cy="359574"/>
          </a:xfrm>
          <a:prstGeom prst="roundRect">
            <a:avLst/>
          </a:prstGeom>
          <a:solidFill>
            <a:schemeClr val="accent4"/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DF102F37-3560-4D97-B4F2-36313D38BAD8}" type="TxLink">
              <a:rPr lang="en-US" sz="1400" b="1" i="0" u="none" strike="noStrike" kern="1200">
                <a:solidFill>
                  <a:schemeClr val="accent5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25/11/2025</a:t>
            </a:fld>
            <a:endParaRPr lang="pt-PT" sz="1400" b="1" i="0" u="none" strike="noStrike" kern="1200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$AB$19">
        <xdr:nvSpPr>
          <xdr:cNvPr id="23560" name="Retângulo: Cantos Arredondados 23559">
            <a:extLst>
              <a:ext uri="{FF2B5EF4-FFF2-40B4-BE49-F238E27FC236}">
                <a16:creationId xmlns:a16="http://schemas.microsoft.com/office/drawing/2014/main" id="{00000000-0008-0000-1600-0000085C0000}"/>
              </a:ext>
            </a:extLst>
          </xdr:cNvPr>
          <xdr:cNvSpPr/>
        </xdr:nvSpPr>
        <xdr:spPr>
          <a:xfrm>
            <a:off x="408395" y="4373471"/>
            <a:ext cx="1716235" cy="359574"/>
          </a:xfrm>
          <a:prstGeom prst="roundRect">
            <a:avLst/>
          </a:prstGeom>
          <a:solidFill>
            <a:schemeClr val="accent4"/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99A7BD74-5A25-43F9-B3F1-03046C956778}" type="TxLink">
              <a:rPr lang="en-US" sz="1400" b="1" i="0" u="none" strike="noStrike" kern="1200">
                <a:solidFill>
                  <a:schemeClr val="accent5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31/10/2024</a:t>
            </a:fld>
            <a:endParaRPr lang="pt-PT" sz="1400" b="1" i="0" u="none" strike="noStrike" kern="1200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$AD$19">
        <xdr:nvSpPr>
          <xdr:cNvPr id="23561" name="Retângulo: Cantos Arredondados 23560">
            <a:extLst>
              <a:ext uri="{FF2B5EF4-FFF2-40B4-BE49-F238E27FC236}">
                <a16:creationId xmlns:a16="http://schemas.microsoft.com/office/drawing/2014/main" id="{00000000-0008-0000-1600-0000095C0000}"/>
              </a:ext>
            </a:extLst>
          </xdr:cNvPr>
          <xdr:cNvSpPr/>
        </xdr:nvSpPr>
        <xdr:spPr>
          <a:xfrm>
            <a:off x="419420" y="5687421"/>
            <a:ext cx="1716235" cy="359574"/>
          </a:xfrm>
          <a:prstGeom prst="roundRect">
            <a:avLst/>
          </a:prstGeom>
          <a:solidFill>
            <a:schemeClr val="accent4"/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2A537C86-7A15-4444-9355-3EA17CEA8AD0}" type="TxLink">
              <a:rPr lang="en-US" sz="1400" b="1" i="0" u="none" strike="noStrike" kern="1200">
                <a:solidFill>
                  <a:schemeClr val="accent5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05/08/2025</a:t>
            </a:fld>
            <a:endParaRPr lang="pt-PT" sz="1400" b="1" i="0" u="none" strike="noStrike" kern="1200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  <xdr:sp macro="" textlink="$AF$19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00000000-0008-0000-1600-00000E000000}"/>
              </a:ext>
            </a:extLst>
          </xdr:cNvPr>
          <xdr:cNvSpPr/>
        </xdr:nvSpPr>
        <xdr:spPr>
          <a:xfrm>
            <a:off x="408395" y="6639283"/>
            <a:ext cx="1716235" cy="359574"/>
          </a:xfrm>
          <a:prstGeom prst="roundRect">
            <a:avLst/>
          </a:prstGeom>
          <a:solidFill>
            <a:schemeClr val="accent4"/>
          </a:solidFill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A5312596-670F-4649-958A-BE8609CE7E87}" type="TxLink">
              <a:rPr lang="en-US" sz="1400" b="1" i="0" u="none" strike="noStrike" kern="1200">
                <a:solidFill>
                  <a:schemeClr val="accent5">
                    <a:lumMod val="5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20/08/2025</a:t>
            </a:fld>
            <a:endParaRPr lang="pt-PT" sz="1400" b="1" i="0" u="none" strike="noStrike" kern="1200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6</xdr:col>
      <xdr:colOff>66874</xdr:colOff>
      <xdr:row>2</xdr:row>
      <xdr:rowOff>112326</xdr:rowOff>
    </xdr:from>
    <xdr:to>
      <xdr:col>8</xdr:col>
      <xdr:colOff>571150</xdr:colOff>
      <xdr:row>4</xdr:row>
      <xdr:rowOff>48333</xdr:rowOff>
    </xdr:to>
    <xdr:sp macro="" textlink="$AB$2">
      <xdr:nvSpPr>
        <xdr:cNvPr id="7" name="Retângulo: Cantos Arredondados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/>
      </xdr:nvSpPr>
      <xdr:spPr>
        <a:xfrm>
          <a:off x="3724474" y="482440"/>
          <a:ext cx="1723476" cy="30612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60A30B3-2926-4D4E-8C09-A5BE4A334DD0}" type="TxLink">
            <a:rPr lang="en-US" sz="1400" b="1" i="0" u="none" strike="noStrike" kern="1200">
              <a:solidFill>
                <a:schemeClr val="accent3">
                  <a:lumMod val="20000"/>
                  <a:lumOff val="8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2 422,50 €</a:t>
          </a:fld>
          <a:endParaRPr lang="pt-PT" sz="1400" b="1" i="0" u="none" strike="noStrike" kern="1200">
            <a:solidFill>
              <a:schemeClr val="accent3">
                <a:lumMod val="20000"/>
                <a:lumOff val="8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66874</xdr:colOff>
      <xdr:row>1</xdr:row>
      <xdr:rowOff>14996</xdr:rowOff>
    </xdr:from>
    <xdr:to>
      <xdr:col>8</xdr:col>
      <xdr:colOff>555643</xdr:colOff>
      <xdr:row>2</xdr:row>
      <xdr:rowOff>89764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>
        <a:xfrm>
          <a:off x="3724474" y="200053"/>
          <a:ext cx="1707969" cy="2598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Faturação</a:t>
          </a:r>
        </a:p>
      </xdr:txBody>
    </xdr:sp>
    <xdr:clientData/>
  </xdr:twoCellAnchor>
  <xdr:twoCellAnchor>
    <xdr:from>
      <xdr:col>9</xdr:col>
      <xdr:colOff>373756</xdr:colOff>
      <xdr:row>2</xdr:row>
      <xdr:rowOff>112326</xdr:rowOff>
    </xdr:from>
    <xdr:to>
      <xdr:col>12</xdr:col>
      <xdr:colOff>268432</xdr:colOff>
      <xdr:row>4</xdr:row>
      <xdr:rowOff>48333</xdr:rowOff>
    </xdr:to>
    <xdr:sp macro="" textlink="$AB$3">
      <xdr:nvSpPr>
        <xdr:cNvPr id="38" name="Retângulo: Cantos Arredondados 37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/>
      </xdr:nvSpPr>
      <xdr:spPr>
        <a:xfrm>
          <a:off x="5860156" y="482440"/>
          <a:ext cx="1723476" cy="30612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64C2BF2-A2F5-434D-8F08-8201FE04BF43}" type="TxLink">
            <a:rPr lang="en-US" sz="1400" b="1" i="0" u="none" strike="noStrike" kern="1200">
              <a:solidFill>
                <a:schemeClr val="accent3">
                  <a:lumMod val="20000"/>
                  <a:lumOff val="8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0,00 €</a:t>
          </a:fld>
          <a:endParaRPr lang="pt-PT" sz="1400" b="1" i="0" u="none" strike="noStrike" kern="1200">
            <a:solidFill>
              <a:schemeClr val="accent3">
                <a:lumMod val="20000"/>
                <a:lumOff val="8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373756</xdr:colOff>
      <xdr:row>1</xdr:row>
      <xdr:rowOff>14996</xdr:rowOff>
    </xdr:from>
    <xdr:to>
      <xdr:col>12</xdr:col>
      <xdr:colOff>252925</xdr:colOff>
      <xdr:row>2</xdr:row>
      <xdr:rowOff>89764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/>
      </xdr:nvSpPr>
      <xdr:spPr>
        <a:xfrm>
          <a:off x="5860156" y="200053"/>
          <a:ext cx="1707969" cy="2598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Despesas</a:t>
          </a:r>
        </a:p>
      </xdr:txBody>
    </xdr:sp>
    <xdr:clientData/>
  </xdr:twoCellAnchor>
  <xdr:twoCellAnchor>
    <xdr:from>
      <xdr:col>13</xdr:col>
      <xdr:colOff>71038</xdr:colOff>
      <xdr:row>2</xdr:row>
      <xdr:rowOff>112326</xdr:rowOff>
    </xdr:from>
    <xdr:to>
      <xdr:col>15</xdr:col>
      <xdr:colOff>575314</xdr:colOff>
      <xdr:row>4</xdr:row>
      <xdr:rowOff>48333</xdr:rowOff>
    </xdr:to>
    <xdr:sp macro="" textlink="$AB$4">
      <xdr:nvSpPr>
        <xdr:cNvPr id="43" name="Retângulo: Cantos Arredondados 42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/>
      </xdr:nvSpPr>
      <xdr:spPr>
        <a:xfrm>
          <a:off x="7995838" y="482440"/>
          <a:ext cx="1723476" cy="30612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E92808C-D58A-4D92-A332-D65459509EFC}" type="TxLink">
            <a:rPr lang="en-US" sz="1400" b="1" i="0" u="none" strike="noStrike" kern="1200">
              <a:solidFill>
                <a:schemeClr val="accent3">
                  <a:lumMod val="20000"/>
                  <a:lumOff val="8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519,24 €</a:t>
          </a:fld>
          <a:endParaRPr lang="pt-PT" sz="1400" b="1" i="0" u="none" strike="noStrike" kern="1200">
            <a:solidFill>
              <a:schemeClr val="accent3">
                <a:lumMod val="20000"/>
                <a:lumOff val="8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71038</xdr:colOff>
      <xdr:row>1</xdr:row>
      <xdr:rowOff>14996</xdr:rowOff>
    </xdr:from>
    <xdr:to>
      <xdr:col>15</xdr:col>
      <xdr:colOff>559807</xdr:colOff>
      <xdr:row>2</xdr:row>
      <xdr:rowOff>89764</xdr:rowOff>
    </xdr:to>
    <xdr:sp macro="" textlink="">
      <xdr:nvSpPr>
        <xdr:cNvPr id="44" name="Retângulo: Cantos Arredondados 43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/>
      </xdr:nvSpPr>
      <xdr:spPr>
        <a:xfrm>
          <a:off x="7995838" y="200053"/>
          <a:ext cx="1707969" cy="2598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Pagamento</a:t>
          </a:r>
          <a:r>
            <a:rPr lang="pt-PT" sz="1400" b="1" kern="1200" baseline="0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S.Social</a:t>
          </a:r>
        </a:p>
      </xdr:txBody>
    </xdr:sp>
    <xdr:clientData/>
  </xdr:twoCellAnchor>
  <xdr:twoCellAnchor>
    <xdr:from>
      <xdr:col>16</xdr:col>
      <xdr:colOff>377920</xdr:colOff>
      <xdr:row>2</xdr:row>
      <xdr:rowOff>103361</xdr:rowOff>
    </xdr:from>
    <xdr:to>
      <xdr:col>19</xdr:col>
      <xdr:colOff>272596</xdr:colOff>
      <xdr:row>4</xdr:row>
      <xdr:rowOff>39368</xdr:rowOff>
    </xdr:to>
    <xdr:sp macro="" textlink="$AB$5">
      <xdr:nvSpPr>
        <xdr:cNvPr id="45" name="Retângulo: Cantos Arredondados 44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/>
      </xdr:nvSpPr>
      <xdr:spPr>
        <a:xfrm>
          <a:off x="10131520" y="473475"/>
          <a:ext cx="1723476" cy="30612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51EBACE-58E2-4E7F-A306-3D6B4AEC0AD6}" type="TxLink">
            <a:rPr lang="en-US" sz="1400" b="1" i="0" u="none" strike="noStrike" kern="1200">
              <a:solidFill>
                <a:schemeClr val="accent3">
                  <a:lumMod val="20000"/>
                  <a:lumOff val="8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0,00 €</a:t>
          </a:fld>
          <a:endParaRPr lang="pt-PT" sz="1400" b="1" i="0" u="none" strike="noStrike" kern="1200">
            <a:solidFill>
              <a:schemeClr val="accent3">
                <a:lumMod val="20000"/>
                <a:lumOff val="8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404010</xdr:colOff>
      <xdr:row>1</xdr:row>
      <xdr:rowOff>6031</xdr:rowOff>
    </xdr:from>
    <xdr:to>
      <xdr:col>19</xdr:col>
      <xdr:colOff>283179</xdr:colOff>
      <xdr:row>2</xdr:row>
      <xdr:rowOff>80799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/>
      </xdr:nvSpPr>
      <xdr:spPr>
        <a:xfrm>
          <a:off x="11241343" y="196531"/>
          <a:ext cx="1911169" cy="26526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 baseline="0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IVA Liquidado</a:t>
          </a:r>
        </a:p>
      </xdr:txBody>
    </xdr:sp>
    <xdr:clientData/>
  </xdr:twoCellAnchor>
  <xdr:twoCellAnchor>
    <xdr:from>
      <xdr:col>20</xdr:col>
      <xdr:colOff>75203</xdr:colOff>
      <xdr:row>2</xdr:row>
      <xdr:rowOff>103361</xdr:rowOff>
    </xdr:from>
    <xdr:to>
      <xdr:col>22</xdr:col>
      <xdr:colOff>579479</xdr:colOff>
      <xdr:row>4</xdr:row>
      <xdr:rowOff>39368</xdr:rowOff>
    </xdr:to>
    <xdr:sp macro="" textlink="$AB$6">
      <xdr:nvSpPr>
        <xdr:cNvPr id="47" name="Retângulo: Cantos Arredondados 46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/>
      </xdr:nvSpPr>
      <xdr:spPr>
        <a:xfrm>
          <a:off x="12267203" y="473475"/>
          <a:ext cx="1723476" cy="30612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AC22017-976E-4974-A035-24591A8DCC99}" type="TxLink">
            <a:rPr lang="en-US" sz="1400" b="1" i="0" u="none" strike="noStrike" kern="1200">
              <a:solidFill>
                <a:schemeClr val="accent3">
                  <a:lumMod val="20000"/>
                  <a:lumOff val="8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0,00 €</a:t>
          </a:fld>
          <a:endParaRPr lang="pt-PT" sz="1400" b="1" i="0" u="none" strike="noStrike" kern="1200">
            <a:solidFill>
              <a:schemeClr val="accent3">
                <a:lumMod val="20000"/>
                <a:lumOff val="8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90710</xdr:colOff>
      <xdr:row>1</xdr:row>
      <xdr:rowOff>6031</xdr:rowOff>
    </xdr:from>
    <xdr:to>
      <xdr:col>22</xdr:col>
      <xdr:colOff>579479</xdr:colOff>
      <xdr:row>2</xdr:row>
      <xdr:rowOff>80799</xdr:rowOff>
    </xdr:to>
    <xdr:sp macro="" textlink="">
      <xdr:nvSpPr>
        <xdr:cNvPr id="48" name="Retângulo: Cantos Arredondados 47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/>
      </xdr:nvSpPr>
      <xdr:spPr>
        <a:xfrm>
          <a:off x="12282710" y="191088"/>
          <a:ext cx="1707969" cy="2598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IVA Dedutível</a:t>
          </a:r>
        </a:p>
      </xdr:txBody>
    </xdr:sp>
    <xdr:clientData/>
  </xdr:twoCellAnchor>
  <xdr:twoCellAnchor>
    <xdr:from>
      <xdr:col>6</xdr:col>
      <xdr:colOff>66874</xdr:colOff>
      <xdr:row>6</xdr:row>
      <xdr:rowOff>85431</xdr:rowOff>
    </xdr:from>
    <xdr:to>
      <xdr:col>8</xdr:col>
      <xdr:colOff>571150</xdr:colOff>
      <xdr:row>8</xdr:row>
      <xdr:rowOff>21438</xdr:rowOff>
    </xdr:to>
    <xdr:sp macro="" textlink="$AC$2">
      <xdr:nvSpPr>
        <xdr:cNvPr id="49" name="Retângulo: Cantos Arredondados 48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/>
      </xdr:nvSpPr>
      <xdr:spPr>
        <a:xfrm>
          <a:off x="3724474" y="1195774"/>
          <a:ext cx="1723476" cy="30612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98835095-3165-42A1-A086-A0D6F1699100}" type="TxLink">
            <a:rPr lang="en-US" sz="1400" b="1" i="0" u="none" strike="noStrike" kern="1200">
              <a:solidFill>
                <a:schemeClr val="accent3">
                  <a:lumMod val="20000"/>
                  <a:lumOff val="8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27 400,00 €</a:t>
          </a:fld>
          <a:endParaRPr lang="pt-PT" sz="1400" b="1" i="0" u="none" strike="noStrike" kern="1200">
            <a:solidFill>
              <a:schemeClr val="accent3">
                <a:lumMod val="20000"/>
                <a:lumOff val="8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66874</xdr:colOff>
      <xdr:row>4</xdr:row>
      <xdr:rowOff>167396</xdr:rowOff>
    </xdr:from>
    <xdr:to>
      <xdr:col>8</xdr:col>
      <xdr:colOff>555643</xdr:colOff>
      <xdr:row>6</xdr:row>
      <xdr:rowOff>62869</xdr:rowOff>
    </xdr:to>
    <xdr:sp macro="" textlink="">
      <xdr:nvSpPr>
        <xdr:cNvPr id="50" name="Retângulo: Cantos Arredondados 49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/>
      </xdr:nvSpPr>
      <xdr:spPr>
        <a:xfrm>
          <a:off x="3724474" y="907625"/>
          <a:ext cx="1707969" cy="26558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Faturação Total</a:t>
          </a:r>
        </a:p>
      </xdr:txBody>
    </xdr:sp>
    <xdr:clientData/>
  </xdr:twoCellAnchor>
  <xdr:twoCellAnchor>
    <xdr:from>
      <xdr:col>9</xdr:col>
      <xdr:colOff>373756</xdr:colOff>
      <xdr:row>6</xdr:row>
      <xdr:rowOff>85431</xdr:rowOff>
    </xdr:from>
    <xdr:to>
      <xdr:col>12</xdr:col>
      <xdr:colOff>268432</xdr:colOff>
      <xdr:row>8</xdr:row>
      <xdr:rowOff>21438</xdr:rowOff>
    </xdr:to>
    <xdr:sp macro="" textlink="$AC$3">
      <xdr:nvSpPr>
        <xdr:cNvPr id="51" name="Retângulo: Cantos Arredondados 50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/>
      </xdr:nvSpPr>
      <xdr:spPr>
        <a:xfrm>
          <a:off x="5860156" y="1195774"/>
          <a:ext cx="1723476" cy="30612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300DCEE-000D-4A96-A8B4-DF2F7E98900A}" type="TxLink">
            <a:rPr lang="en-US" sz="1400" b="1" i="0" u="none" strike="noStrike" kern="1200">
              <a:solidFill>
                <a:schemeClr val="accent3">
                  <a:lumMod val="20000"/>
                  <a:lumOff val="8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9 097,78 €</a:t>
          </a:fld>
          <a:endParaRPr lang="pt-PT" sz="1400" b="1" i="0" u="none" strike="noStrike" kern="1200">
            <a:solidFill>
              <a:schemeClr val="accent3">
                <a:lumMod val="20000"/>
                <a:lumOff val="8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373756</xdr:colOff>
      <xdr:row>4</xdr:row>
      <xdr:rowOff>167396</xdr:rowOff>
    </xdr:from>
    <xdr:to>
      <xdr:col>12</xdr:col>
      <xdr:colOff>252925</xdr:colOff>
      <xdr:row>6</xdr:row>
      <xdr:rowOff>62869</xdr:rowOff>
    </xdr:to>
    <xdr:sp macro="" textlink="">
      <xdr:nvSpPr>
        <xdr:cNvPr id="52" name="Retângulo: Cantos Arredondados 51">
          <a:extLst>
            <a:ext uri="{FF2B5EF4-FFF2-40B4-BE49-F238E27FC236}">
              <a16:creationId xmlns:a16="http://schemas.microsoft.com/office/drawing/2014/main" id="{00000000-0008-0000-1600-000034000000}"/>
            </a:ext>
          </a:extLst>
        </xdr:cNvPr>
        <xdr:cNvSpPr/>
      </xdr:nvSpPr>
      <xdr:spPr>
        <a:xfrm>
          <a:off x="5860156" y="907625"/>
          <a:ext cx="1707969" cy="26558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Despesas Total</a:t>
          </a:r>
        </a:p>
      </xdr:txBody>
    </xdr:sp>
    <xdr:clientData/>
  </xdr:twoCellAnchor>
  <xdr:twoCellAnchor>
    <xdr:from>
      <xdr:col>13</xdr:col>
      <xdr:colOff>71038</xdr:colOff>
      <xdr:row>6</xdr:row>
      <xdr:rowOff>85431</xdr:rowOff>
    </xdr:from>
    <xdr:to>
      <xdr:col>15</xdr:col>
      <xdr:colOff>575314</xdr:colOff>
      <xdr:row>8</xdr:row>
      <xdr:rowOff>21438</xdr:rowOff>
    </xdr:to>
    <xdr:sp macro="" textlink="$AC$4">
      <xdr:nvSpPr>
        <xdr:cNvPr id="53" name="Retângulo: Cantos Arredondados 52">
          <a:extLst>
            <a:ext uri="{FF2B5EF4-FFF2-40B4-BE49-F238E27FC236}">
              <a16:creationId xmlns:a16="http://schemas.microsoft.com/office/drawing/2014/main" id="{00000000-0008-0000-1600-000035000000}"/>
            </a:ext>
          </a:extLst>
        </xdr:cNvPr>
        <xdr:cNvSpPr/>
      </xdr:nvSpPr>
      <xdr:spPr>
        <a:xfrm>
          <a:off x="7995838" y="1195774"/>
          <a:ext cx="1723476" cy="30612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C37E889-DB9E-42B0-85F5-1386D9A6E48D}" type="TxLink">
            <a:rPr lang="en-US" sz="1400" b="1" i="0" u="none" strike="noStrike" kern="1200">
              <a:solidFill>
                <a:schemeClr val="accent3">
                  <a:lumMod val="20000"/>
                  <a:lumOff val="80000"/>
                </a:schemeClr>
              </a:solidFill>
              <a:latin typeface="Calibri"/>
              <a:ea typeface="Calibri"/>
              <a:cs typeface="Calibri"/>
            </a:rPr>
            <a:pPr marL="0" indent="0" algn="ctr"/>
            <a:t>1 639,06 €</a:t>
          </a:fld>
          <a:endParaRPr lang="pt-PT" sz="1400" b="1" i="0" u="none" strike="noStrike" kern="1200">
            <a:solidFill>
              <a:schemeClr val="accent3">
                <a:lumMod val="20000"/>
                <a:lumOff val="80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71038</xdr:colOff>
      <xdr:row>4</xdr:row>
      <xdr:rowOff>167396</xdr:rowOff>
    </xdr:from>
    <xdr:to>
      <xdr:col>15</xdr:col>
      <xdr:colOff>559807</xdr:colOff>
      <xdr:row>6</xdr:row>
      <xdr:rowOff>62869</xdr:rowOff>
    </xdr:to>
    <xdr:sp macro="" textlink="">
      <xdr:nvSpPr>
        <xdr:cNvPr id="54" name="Retângulo: Cantos Arredondados 53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/>
      </xdr:nvSpPr>
      <xdr:spPr>
        <a:xfrm>
          <a:off x="7995838" y="907625"/>
          <a:ext cx="1707969" cy="26558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Pagamento</a:t>
          </a:r>
          <a:r>
            <a:rPr lang="pt-PT" sz="1400" b="1" kern="1200" baseline="0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S.Social</a:t>
          </a:r>
        </a:p>
      </xdr:txBody>
    </xdr:sp>
    <xdr:clientData/>
  </xdr:twoCellAnchor>
  <xdr:twoCellAnchor>
    <xdr:from>
      <xdr:col>16</xdr:col>
      <xdr:colOff>377920</xdr:colOff>
      <xdr:row>6</xdr:row>
      <xdr:rowOff>76466</xdr:rowOff>
    </xdr:from>
    <xdr:to>
      <xdr:col>19</xdr:col>
      <xdr:colOff>272596</xdr:colOff>
      <xdr:row>8</xdr:row>
      <xdr:rowOff>12473</xdr:rowOff>
    </xdr:to>
    <xdr:sp macro="" textlink="$AB$7">
      <xdr:nvSpPr>
        <xdr:cNvPr id="55" name="Retângulo: Cantos Arredondados 54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/>
      </xdr:nvSpPr>
      <xdr:spPr>
        <a:xfrm>
          <a:off x="10131520" y="1186809"/>
          <a:ext cx="1723476" cy="30612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EA1D4B8-51D0-7247-B403-752C1F778E28}" type="TxLink">
            <a:rPr lang="en-US" sz="14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0,00 €</a:t>
          </a:fld>
          <a:endParaRPr lang="pt-PT" sz="1800" b="1" i="0" u="none" strike="noStrike" kern="1200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393427</xdr:colOff>
      <xdr:row>4</xdr:row>
      <xdr:rowOff>158431</xdr:rowOff>
    </xdr:from>
    <xdr:to>
      <xdr:col>19</xdr:col>
      <xdr:colOff>272596</xdr:colOff>
      <xdr:row>6</xdr:row>
      <xdr:rowOff>53904</xdr:rowOff>
    </xdr:to>
    <xdr:sp macro="" textlink="">
      <xdr:nvSpPr>
        <xdr:cNvPr id="56" name="Retângulo: Cantos Arredondados 55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/>
      </xdr:nvSpPr>
      <xdr:spPr>
        <a:xfrm>
          <a:off x="10147027" y="898660"/>
          <a:ext cx="1707969" cy="26558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Apuramento</a:t>
          </a:r>
          <a:r>
            <a:rPr lang="pt-PT" sz="1400" b="1" kern="1200" baseline="0">
              <a:solidFill>
                <a:schemeClr val="accent2">
                  <a:lumMod val="50000"/>
                </a:schemeClr>
              </a:solidFill>
            </a:rPr>
            <a:t> </a:t>
          </a:r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IVA Mês </a:t>
          </a:r>
        </a:p>
      </xdr:txBody>
    </xdr:sp>
    <xdr:clientData/>
  </xdr:twoCellAnchor>
  <xdr:twoCellAnchor>
    <xdr:from>
      <xdr:col>20</xdr:col>
      <xdr:colOff>75203</xdr:colOff>
      <xdr:row>6</xdr:row>
      <xdr:rowOff>76466</xdr:rowOff>
    </xdr:from>
    <xdr:to>
      <xdr:col>22</xdr:col>
      <xdr:colOff>579479</xdr:colOff>
      <xdr:row>8</xdr:row>
      <xdr:rowOff>12473</xdr:rowOff>
    </xdr:to>
    <xdr:sp macro="" textlink="$AC$5">
      <xdr:nvSpPr>
        <xdr:cNvPr id="57" name="Retângulo: Cantos Arredondados 56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/>
      </xdr:nvSpPr>
      <xdr:spPr>
        <a:xfrm>
          <a:off x="12267203" y="1186809"/>
          <a:ext cx="1723476" cy="30612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3D0B3DD-BFB1-4C4A-A8B6-8E187C61A3D4}" type="TxLink">
            <a:rPr lang="en-US" sz="14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/>
            <a:t>0,00 €</a:t>
          </a:fld>
          <a:endParaRPr lang="pt-PT" sz="1800" b="1" i="0" u="none" strike="noStrike" kern="1200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90710</xdr:colOff>
      <xdr:row>4</xdr:row>
      <xdr:rowOff>158431</xdr:rowOff>
    </xdr:from>
    <xdr:to>
      <xdr:col>22</xdr:col>
      <xdr:colOff>579479</xdr:colOff>
      <xdr:row>6</xdr:row>
      <xdr:rowOff>53904</xdr:rowOff>
    </xdr:to>
    <xdr:sp macro="" textlink="">
      <xdr:nvSpPr>
        <xdr:cNvPr id="58" name="Retângulo: Cantos Arredondados 57">
          <a:extLst>
            <a:ext uri="{FF2B5EF4-FFF2-40B4-BE49-F238E27FC236}">
              <a16:creationId xmlns:a16="http://schemas.microsoft.com/office/drawing/2014/main" id="{00000000-0008-0000-1600-00003A000000}"/>
            </a:ext>
          </a:extLst>
        </xdr:cNvPr>
        <xdr:cNvSpPr/>
      </xdr:nvSpPr>
      <xdr:spPr>
        <a:xfrm>
          <a:off x="12282710" y="898660"/>
          <a:ext cx="1707969" cy="26558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Ap. IVA Trimestre</a:t>
          </a:r>
        </a:p>
      </xdr:txBody>
    </xdr:sp>
    <xdr:clientData/>
  </xdr:twoCellAnchor>
  <xdr:twoCellAnchor>
    <xdr:from>
      <xdr:col>19</xdr:col>
      <xdr:colOff>79821</xdr:colOff>
      <xdr:row>23</xdr:row>
      <xdr:rowOff>163092</xdr:rowOff>
    </xdr:from>
    <xdr:to>
      <xdr:col>23</xdr:col>
      <xdr:colOff>419099</xdr:colOff>
      <xdr:row>38</xdr:row>
      <xdr:rowOff>173680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11530603" y="4385265"/>
          <a:ext cx="2749969" cy="2764179"/>
        </a:xfrm>
        <a:prstGeom prst="roundRect">
          <a:avLst>
            <a:gd name="adj" fmla="val 3727"/>
          </a:avLst>
        </a:prstGeom>
        <a:solidFill>
          <a:schemeClr val="accent3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 kern="1200"/>
        </a:p>
      </xdr:txBody>
    </xdr:sp>
    <xdr:clientData/>
  </xdr:twoCellAnchor>
  <xdr:twoCellAnchor>
    <xdr:from>
      <xdr:col>19</xdr:col>
      <xdr:colOff>117156</xdr:colOff>
      <xdr:row>27</xdr:row>
      <xdr:rowOff>43543</xdr:rowOff>
    </xdr:from>
    <xdr:to>
      <xdr:col>23</xdr:col>
      <xdr:colOff>323984</xdr:colOff>
      <xdr:row>38</xdr:row>
      <xdr:rowOff>54047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283211</xdr:colOff>
      <xdr:row>8</xdr:row>
      <xdr:rowOff>50080</xdr:rowOff>
    </xdr:from>
    <xdr:to>
      <xdr:col>3</xdr:col>
      <xdr:colOff>45720</xdr:colOff>
      <xdr:row>13</xdr:row>
      <xdr:rowOff>53340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/>
      </xdr:nvSpPr>
      <xdr:spPr>
        <a:xfrm>
          <a:off x="283211" y="1513120"/>
          <a:ext cx="1568449" cy="91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800" b="1" kern="1200">
              <a:solidFill>
                <a:srgbClr val="C00000"/>
              </a:solidFill>
              <a:effectLst/>
            </a:rPr>
            <a:t>Próximas obrigações</a:t>
          </a:r>
        </a:p>
      </xdr:txBody>
    </xdr:sp>
    <xdr:clientData/>
  </xdr:twoCellAnchor>
  <xdr:twoCellAnchor>
    <xdr:from>
      <xdr:col>0</xdr:col>
      <xdr:colOff>70231</xdr:colOff>
      <xdr:row>0</xdr:row>
      <xdr:rowOff>97971</xdr:rowOff>
    </xdr:from>
    <xdr:to>
      <xdr:col>5</xdr:col>
      <xdr:colOff>251792</xdr:colOff>
      <xdr:row>5</xdr:row>
      <xdr:rowOff>19878</xdr:rowOff>
    </xdr:to>
    <xdr:sp macro="" textlink="">
      <xdr:nvSpPr>
        <xdr:cNvPr id="3" name="Retângulo: Cantos Arredondados 5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70231" y="97971"/>
          <a:ext cx="3236584" cy="834902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accent5">
              <a:lumMod val="50000"/>
            </a:schemeClr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 kern="1200"/>
        </a:p>
      </xdr:txBody>
    </xdr:sp>
    <xdr:clientData/>
  </xdr:twoCellAnchor>
  <xdr:twoCellAnchor>
    <xdr:from>
      <xdr:col>0</xdr:col>
      <xdr:colOff>128046</xdr:colOff>
      <xdr:row>0</xdr:row>
      <xdr:rowOff>156209</xdr:rowOff>
    </xdr:from>
    <xdr:to>
      <xdr:col>1</xdr:col>
      <xdr:colOff>228567</xdr:colOff>
      <xdr:row>4</xdr:row>
      <xdr:rowOff>113612</xdr:rowOff>
    </xdr:to>
    <xdr:pic>
      <xdr:nvPicPr>
        <xdr:cNvPr id="17" name="Gráfico 16" descr="Casa com preenchimento sóli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28046" y="156209"/>
          <a:ext cx="711526" cy="687799"/>
        </a:xfrm>
        <a:prstGeom prst="rect">
          <a:avLst/>
        </a:prstGeom>
      </xdr:spPr>
    </xdr:pic>
    <xdr:clientData/>
  </xdr:twoCellAnchor>
  <xdr:twoCellAnchor>
    <xdr:from>
      <xdr:col>1</xdr:col>
      <xdr:colOff>265990</xdr:colOff>
      <xdr:row>0</xdr:row>
      <xdr:rowOff>157608</xdr:rowOff>
    </xdr:from>
    <xdr:to>
      <xdr:col>1</xdr:col>
      <xdr:colOff>609127</xdr:colOff>
      <xdr:row>2</xdr:row>
      <xdr:rowOff>130379</xdr:rowOff>
    </xdr:to>
    <xdr:sp macro="" textlink="">
      <xdr:nvSpPr>
        <xdr:cNvPr id="25" name="Retângulo: Cantos Arredondados 2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/>
      </xdr:nvSpPr>
      <xdr:spPr>
        <a:xfrm>
          <a:off x="875590" y="157608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PT" sz="900" kern="1200"/>
            <a:t>1</a:t>
          </a:r>
        </a:p>
      </xdr:txBody>
    </xdr:sp>
    <xdr:clientData/>
  </xdr:twoCellAnchor>
  <xdr:twoCellAnchor>
    <xdr:from>
      <xdr:col>2</xdr:col>
      <xdr:colOff>60676</xdr:colOff>
      <xdr:row>0</xdr:row>
      <xdr:rowOff>157608</xdr:rowOff>
    </xdr:from>
    <xdr:to>
      <xdr:col>2</xdr:col>
      <xdr:colOff>403813</xdr:colOff>
      <xdr:row>2</xdr:row>
      <xdr:rowOff>130379</xdr:rowOff>
    </xdr:to>
    <xdr:sp macro="" textlink="">
      <xdr:nvSpPr>
        <xdr:cNvPr id="26" name="Retângulo: Cantos Arredondados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/>
      </xdr:nvSpPr>
      <xdr:spPr>
        <a:xfrm>
          <a:off x="1279876" y="157608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2</xdr:col>
      <xdr:colOff>464962</xdr:colOff>
      <xdr:row>0</xdr:row>
      <xdr:rowOff>157608</xdr:rowOff>
    </xdr:from>
    <xdr:to>
      <xdr:col>3</xdr:col>
      <xdr:colOff>198499</xdr:colOff>
      <xdr:row>2</xdr:row>
      <xdr:rowOff>130379</xdr:rowOff>
    </xdr:to>
    <xdr:sp macro="" textlink="">
      <xdr:nvSpPr>
        <xdr:cNvPr id="27" name="Retângulo: Cantos Arredondados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/>
      </xdr:nvSpPr>
      <xdr:spPr>
        <a:xfrm>
          <a:off x="1684162" y="157608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3</xdr:col>
      <xdr:colOff>259648</xdr:colOff>
      <xdr:row>0</xdr:row>
      <xdr:rowOff>157608</xdr:rowOff>
    </xdr:from>
    <xdr:to>
      <xdr:col>3</xdr:col>
      <xdr:colOff>602785</xdr:colOff>
      <xdr:row>2</xdr:row>
      <xdr:rowOff>130379</xdr:rowOff>
    </xdr:to>
    <xdr:sp macro="" textlink="">
      <xdr:nvSpPr>
        <xdr:cNvPr id="28" name="Retângulo: Cantos Arredondados 2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/>
      </xdr:nvSpPr>
      <xdr:spPr>
        <a:xfrm>
          <a:off x="2088448" y="157608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4</xdr:col>
      <xdr:colOff>54334</xdr:colOff>
      <xdr:row>0</xdr:row>
      <xdr:rowOff>157608</xdr:rowOff>
    </xdr:from>
    <xdr:to>
      <xdr:col>4</xdr:col>
      <xdr:colOff>397471</xdr:colOff>
      <xdr:row>2</xdr:row>
      <xdr:rowOff>130379</xdr:rowOff>
    </xdr:to>
    <xdr:sp macro="" textlink="">
      <xdr:nvSpPr>
        <xdr:cNvPr id="29" name="Retângulo: Cantos Arredondados 2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/>
      </xdr:nvSpPr>
      <xdr:spPr>
        <a:xfrm>
          <a:off x="2492734" y="157608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4</xdr:col>
      <xdr:colOff>458619</xdr:colOff>
      <xdr:row>0</xdr:row>
      <xdr:rowOff>157608</xdr:rowOff>
    </xdr:from>
    <xdr:to>
      <xdr:col>5</xdr:col>
      <xdr:colOff>192156</xdr:colOff>
      <xdr:row>2</xdr:row>
      <xdr:rowOff>130379</xdr:rowOff>
    </xdr:to>
    <xdr:sp macro="" textlink="">
      <xdr:nvSpPr>
        <xdr:cNvPr id="30" name="Retângulo: Cantos Arredondados 2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/>
      </xdr:nvSpPr>
      <xdr:spPr>
        <a:xfrm>
          <a:off x="2897019" y="157608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</xdr:col>
      <xdr:colOff>265990</xdr:colOff>
      <xdr:row>2</xdr:row>
      <xdr:rowOff>150980</xdr:rowOff>
    </xdr:from>
    <xdr:to>
      <xdr:col>1</xdr:col>
      <xdr:colOff>609127</xdr:colOff>
      <xdr:row>4</xdr:row>
      <xdr:rowOff>123751</xdr:rowOff>
    </xdr:to>
    <xdr:sp macro="" textlink="">
      <xdr:nvSpPr>
        <xdr:cNvPr id="34" name="Retângulo: Cantos Arredondados 3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/>
      </xdr:nvSpPr>
      <xdr:spPr>
        <a:xfrm>
          <a:off x="875590" y="522041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2</xdr:col>
      <xdr:colOff>60676</xdr:colOff>
      <xdr:row>2</xdr:row>
      <xdr:rowOff>150980</xdr:rowOff>
    </xdr:from>
    <xdr:to>
      <xdr:col>2</xdr:col>
      <xdr:colOff>403813</xdr:colOff>
      <xdr:row>4</xdr:row>
      <xdr:rowOff>123751</xdr:rowOff>
    </xdr:to>
    <xdr:sp macro="" textlink="">
      <xdr:nvSpPr>
        <xdr:cNvPr id="35" name="Retângulo: Cantos Arredondados 3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/>
      </xdr:nvSpPr>
      <xdr:spPr>
        <a:xfrm>
          <a:off x="1279876" y="522041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2</xdr:col>
      <xdr:colOff>464962</xdr:colOff>
      <xdr:row>2</xdr:row>
      <xdr:rowOff>150980</xdr:rowOff>
    </xdr:from>
    <xdr:to>
      <xdr:col>3</xdr:col>
      <xdr:colOff>198499</xdr:colOff>
      <xdr:row>4</xdr:row>
      <xdr:rowOff>123751</xdr:rowOff>
    </xdr:to>
    <xdr:sp macro="" textlink="">
      <xdr:nvSpPr>
        <xdr:cNvPr id="36" name="Retângulo: Cantos Arredondados 3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/>
      </xdr:nvSpPr>
      <xdr:spPr>
        <a:xfrm>
          <a:off x="1684162" y="522041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>
    <xdr:from>
      <xdr:col>3</xdr:col>
      <xdr:colOff>259648</xdr:colOff>
      <xdr:row>2</xdr:row>
      <xdr:rowOff>150980</xdr:rowOff>
    </xdr:from>
    <xdr:to>
      <xdr:col>3</xdr:col>
      <xdr:colOff>602785</xdr:colOff>
      <xdr:row>4</xdr:row>
      <xdr:rowOff>123751</xdr:rowOff>
    </xdr:to>
    <xdr:sp macro="" textlink="">
      <xdr:nvSpPr>
        <xdr:cNvPr id="37" name="Retângulo: Cantos Arredondados 3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/>
      </xdr:nvSpPr>
      <xdr:spPr>
        <a:xfrm>
          <a:off x="2088448" y="522041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>
    <xdr:from>
      <xdr:col>4</xdr:col>
      <xdr:colOff>54334</xdr:colOff>
      <xdr:row>2</xdr:row>
      <xdr:rowOff>150980</xdr:rowOff>
    </xdr:from>
    <xdr:to>
      <xdr:col>4</xdr:col>
      <xdr:colOff>397471</xdr:colOff>
      <xdr:row>4</xdr:row>
      <xdr:rowOff>123751</xdr:rowOff>
    </xdr:to>
    <xdr:sp macro="" textlink="">
      <xdr:nvSpPr>
        <xdr:cNvPr id="40" name="Retângulo: Cantos Arredondados 3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/>
      </xdr:nvSpPr>
      <xdr:spPr>
        <a:xfrm>
          <a:off x="2492734" y="522041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4</xdr:col>
      <xdr:colOff>458619</xdr:colOff>
      <xdr:row>2</xdr:row>
      <xdr:rowOff>150980</xdr:rowOff>
    </xdr:from>
    <xdr:to>
      <xdr:col>5</xdr:col>
      <xdr:colOff>192156</xdr:colOff>
      <xdr:row>4</xdr:row>
      <xdr:rowOff>123751</xdr:rowOff>
    </xdr:to>
    <xdr:sp macro="" textlink="">
      <xdr:nvSpPr>
        <xdr:cNvPr id="41" name="Retângulo: Cantos Arredondados 4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/>
      </xdr:nvSpPr>
      <xdr:spPr>
        <a:xfrm>
          <a:off x="2897019" y="522041"/>
          <a:ext cx="343137" cy="343832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PT" sz="900" kern="1200">
              <a:solidFill>
                <a:schemeClr val="lt1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twoCellAnchor>
  <xdr:twoCellAnchor>
    <xdr:from>
      <xdr:col>19</xdr:col>
      <xdr:colOff>80686</xdr:colOff>
      <xdr:row>24</xdr:row>
      <xdr:rowOff>53788</xdr:rowOff>
    </xdr:from>
    <xdr:to>
      <xdr:col>23</xdr:col>
      <xdr:colOff>403415</xdr:colOff>
      <xdr:row>27</xdr:row>
      <xdr:rowOff>53788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/>
      </xdr:nvSpPr>
      <xdr:spPr>
        <a:xfrm>
          <a:off x="11537190" y="4506518"/>
          <a:ext cx="2734625" cy="5565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 kern="1200">
              <a:solidFill>
                <a:schemeClr val="accent2">
                  <a:lumMod val="50000"/>
                </a:schemeClr>
              </a:solidFill>
            </a:rPr>
            <a:t>Distribuição</a:t>
          </a:r>
          <a:r>
            <a:rPr lang="pt-PT" sz="1400" b="1" kern="1200" baseline="0">
              <a:solidFill>
                <a:schemeClr val="accent2">
                  <a:lumMod val="50000"/>
                </a:schemeClr>
              </a:solidFill>
            </a:rPr>
            <a:t> Faturação e Despesas</a:t>
          </a:r>
          <a:endParaRPr lang="pt-PT" sz="1400" b="1" kern="120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140548</xdr:rowOff>
    </xdr:from>
    <xdr:to>
      <xdr:col>3</xdr:col>
      <xdr:colOff>305633</xdr:colOff>
      <xdr:row>29</xdr:row>
      <xdr:rowOff>103199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/>
      </xdr:nvSpPr>
      <xdr:spPr>
        <a:xfrm>
          <a:off x="0" y="5284048"/>
          <a:ext cx="2324933" cy="343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 kern="120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SAFT</a:t>
          </a:r>
        </a:p>
      </xdr:txBody>
    </xdr:sp>
    <xdr:clientData/>
  </xdr:twoCellAnchor>
  <xdr:twoCellAnchor>
    <xdr:from>
      <xdr:col>0</xdr:col>
      <xdr:colOff>0</xdr:colOff>
      <xdr:row>32</xdr:row>
      <xdr:rowOff>178771</xdr:rowOff>
    </xdr:from>
    <xdr:to>
      <xdr:col>3</xdr:col>
      <xdr:colOff>307538</xdr:colOff>
      <xdr:row>34</xdr:row>
      <xdr:rowOff>111720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/>
      </xdr:nvSpPr>
      <xdr:spPr>
        <a:xfrm>
          <a:off x="0" y="6274771"/>
          <a:ext cx="2326838" cy="3139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 kern="120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Pag.</a:t>
          </a:r>
          <a:r>
            <a:rPr lang="pt-PT" sz="1400" b="1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Segurança Social</a:t>
          </a:r>
          <a:endParaRPr lang="pt-PT" sz="1400" b="1" kern="1200">
            <a:solidFill>
              <a:schemeClr val="accent5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245111</xdr:colOff>
      <xdr:row>25</xdr:row>
      <xdr:rowOff>65320</xdr:rowOff>
    </xdr:from>
    <xdr:to>
      <xdr:col>3</xdr:col>
      <xdr:colOff>7620</xdr:colOff>
      <xdr:row>27</xdr:row>
      <xdr:rowOff>139700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/>
      </xdr:nvSpPr>
      <xdr:spPr>
        <a:xfrm>
          <a:off x="245111" y="4827820"/>
          <a:ext cx="1781809" cy="455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800" b="1" kern="1200">
              <a:solidFill>
                <a:srgbClr val="C00000"/>
              </a:solidFill>
              <a:effectLst/>
            </a:rPr>
            <a:t>Prazos do Mês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1816D9-9199-4C50-AEFB-C82C15060257}" name="TabelaServ" displayName="TabelaServ" ref="F4:F7" totalsRowShown="0" headerRowDxfId="577" dataDxfId="576">
  <autoFilter ref="F4:F7" xr:uid="{9C1816D9-9199-4C50-AEFB-C82C15060257}"/>
  <tableColumns count="1">
    <tableColumn id="1" xr3:uid="{F5D5947B-200A-4228-B515-E7BBF45364FE}" name="Serviços" dataDxfId="57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2A79B-9DAD-4FDE-B93F-71EE65128B66}" name="TabelaProd" displayName="TabelaProd" ref="F10:F12" totalsRowShown="0" headerRowDxfId="574" dataDxfId="573">
  <autoFilter ref="F10:F12" xr:uid="{BD42A79B-9DAD-4FDE-B93F-71EE65128B66}"/>
  <tableColumns count="1">
    <tableColumn id="1" xr3:uid="{7EE4EAB5-0D3D-4EE6-BAB8-F169FF79E56A}" name="Produtos" dataDxfId="57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ECA383-A4D5-4555-BF76-499CCAF78A7D}" name="TabelaDesp" displayName="TabelaDesp" ref="L1:L4" totalsRowShown="0" headerRowDxfId="571" dataDxfId="570">
  <autoFilter ref="L1:L4" xr:uid="{94ECA383-A4D5-4555-BF76-499CCAF78A7D}"/>
  <tableColumns count="1">
    <tableColumn id="1" xr3:uid="{9FFABB3E-3854-417E-8190-82259171112B}" name="Despesas" dataDxfId="569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83027-452E-4FF0-BBEC-D285A7F8AAB2}" name="TabelaPag" displayName="TabelaPag" ref="H4:H10" totalsRowShown="0" headerRowDxfId="568" dataDxfId="567">
  <autoFilter ref="H4:H10" xr:uid="{BC883027-452E-4FF0-BBEC-D285A7F8AAB2}"/>
  <tableColumns count="1">
    <tableColumn id="1" xr3:uid="{B44054E5-268D-4A9C-8CE1-F713C4187BAA}" name="Método Pagamento" dataDxfId="56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F3B886-FB7F-4EFF-A165-D0F479EDAE60}" name="Tabela6" displayName="Tabela6" ref="H4:H7" totalsRowShown="0" headerRowDxfId="565" dataDxfId="563" headerRowBorderDxfId="564">
  <autoFilter ref="H4:H7" xr:uid="{45F3B886-FB7F-4EFF-A165-D0F479EDAE60}"/>
  <tableColumns count="1">
    <tableColumn id="1" xr3:uid="{4E026FC3-0CE8-47DA-B2AD-AAD49EF20C35}" name="Enquadramento Contabilidade" dataDxfId="5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F116B3-1D9A-4673-BAA4-115EA44FB631}" name="Tabela7" displayName="Tabela7" ref="J4:J9" totalsRowShown="0" headerRowDxfId="561" dataDxfId="559" headerRowBorderDxfId="560">
  <autoFilter ref="J4:J9" xr:uid="{5CF116B3-1D9A-4673-BAA4-115EA44FB631}"/>
  <tableColumns count="1">
    <tableColumn id="1" xr3:uid="{8DCC0418-7E5A-4C35-A1AD-DD8A5C33B9E8}" name="Enquadramento de IVA" dataDxfId="55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32C0F2-818D-49BB-8332-DB576C652520}" name="Tabela8" displayName="Tabela8" ref="L4:L7" totalsRowShown="0" headerRowDxfId="557" dataDxfId="555" headerRowBorderDxfId="556">
  <autoFilter ref="L4:L7" xr:uid="{9F32C0F2-818D-49BB-8332-DB576C652520}"/>
  <tableColumns count="1">
    <tableColumn id="1" xr3:uid="{1D31D7F2-CD24-4EF0-884B-07108C176030}" name="Enquadramento SS" dataDxfId="55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4B4988-66D2-4FAF-BDC8-1C0FB9F04370}" name="Fat_Jan" displayName="Fat_Jan" ref="B15:N31" totalsRowShown="0" headerRowDxfId="553" dataDxfId="551" headerRowBorderDxfId="552" tableBorderDxfId="550">
  <autoFilter ref="B15:N31" xr:uid="{6D4B4988-66D2-4FAF-BDC8-1C0FB9F04370}"/>
  <tableColumns count="13">
    <tableColumn id="1" xr3:uid="{9A9CC9B3-5762-4241-9D69-E8543FC2F465}" name="Data" dataDxfId="549"/>
    <tableColumn id="2" xr3:uid="{35CA375A-5526-483C-A411-A370C799BDCD}" name="Cliente" dataDxfId="548"/>
    <tableColumn id="3" xr3:uid="{7A817540-91D7-45A2-8C01-AA602ED0DF67}" name="NIF" dataDxfId="547"/>
    <tableColumn id="13" xr3:uid="{FD574438-635D-4129-8D00-3F08A5EC5CF9}" name="Tipologia" dataDxfId="546"/>
    <tableColumn id="4" xr3:uid="{86E94CA5-4787-4AD0-B156-BE4B96C2527B}" name="Descrição" dataDxfId="545"/>
    <tableColumn id="5" xr3:uid="{3815497D-C318-4B82-95A0-10A90E251EC2}" name="Nº Fatura" dataDxfId="544"/>
    <tableColumn id="6" xr3:uid="{C7D5E841-B792-44D2-BB0B-0BE767DDD2F7}" name="Prestação" dataDxfId="543"/>
    <tableColumn id="7" xr3:uid="{211EFBAE-01AD-4B3B-9AD3-D338891D269E}" name="Base" dataDxfId="542"/>
    <tableColumn id="8" xr3:uid="{D886EEA4-BA3F-49B3-8901-A81671A36BF8}" name="IVA " dataDxfId="541">
      <calculatedColumnFormula>Fat_Jan[[#This Row],[Base]]*0.23</calculatedColumnFormula>
    </tableColumn>
    <tableColumn id="9" xr3:uid="{EC73D272-F296-469A-B0BE-A8B6AE836700}" name="Retenção" dataDxfId="540">
      <calculatedColumnFormula>Fat_Jan[[#This Row],[Base]]*0.23</calculatedColumnFormula>
    </tableColumn>
    <tableColumn id="10" xr3:uid="{4E70565A-5D19-4648-8D0B-4D45EF48E012}" name="Total" dataDxfId="539">
      <calculatedColumnFormula>+I16+J16-K16</calculatedColumnFormula>
    </tableColumn>
    <tableColumn id="11" xr3:uid="{F988F4D4-AAAA-493A-AE18-8AA969AE56EC}" name="Estado" dataDxfId="538"/>
    <tableColumn id="12" xr3:uid="{C8C2F6A4-572D-4100-950D-F0168DAD1FEB}" name="Método Recebimento" dataDxfId="537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1DD0FC-9AE8-4AD5-8C0E-89727377326F}" name="Desp_Jan" displayName="Desp_Jan" ref="P15:Y22" totalsRowShown="0" headerRowDxfId="536" dataDxfId="534" headerRowBorderDxfId="535" tableBorderDxfId="533">
  <autoFilter ref="P15:Y22" xr:uid="{271DD0FC-9AE8-4AD5-8C0E-89727377326F}"/>
  <tableColumns count="10">
    <tableColumn id="1" xr3:uid="{FD0F7EBB-3ACD-4BD9-B20A-FAF8F6ED7F36}" name="Data" dataDxfId="532"/>
    <tableColumn id="2" xr3:uid="{EAF99370-CC24-4698-B8C1-9DF5715899F3}" name="Fornecedor" dataDxfId="531"/>
    <tableColumn id="3" xr3:uid="{2124EA5B-CF2D-48ED-8D80-A93E9CB78836}" name="NIF" dataDxfId="530"/>
    <tableColumn id="4" xr3:uid="{90183F7B-606B-43D2-8496-BED02287CA11}" name="Nº Fatura" dataDxfId="529"/>
    <tableColumn id="5" xr3:uid="{B566CD01-4369-476D-9F35-424F6EB1DD1B}" name="Tipo" dataDxfId="528"/>
    <tableColumn id="6" xr3:uid="{53F3EBB8-1C59-4809-9654-20665A126BDE}" name="Base" dataDxfId="527"/>
    <tableColumn id="7" xr3:uid="{8B2E9F85-0C09-4FE0-ADE1-B810CFCDB0AE}" name="IVA " dataDxfId="526"/>
    <tableColumn id="8" xr3:uid="{6895BF6E-6890-4116-A7EF-325282A69CC3}" name="Total" dataDxfId="525">
      <calculatedColumnFormula>+Desp_Jan[[#This Row],[Base]]+Desp_Jan[[#This Row],[IVA ]]</calculatedColumnFormula>
    </tableColumn>
    <tableColumn id="10" xr3:uid="{FF535752-AF26-4E85-A54B-34EFA37FA4E9}" name="Estado" dataDxfId="524"/>
    <tableColumn id="9" xr3:uid="{4AE4C5AB-8943-42D7-810E-B77DAA1776DE}" name="Método Pagamento" dataDxfId="523"/>
  </tableColumns>
  <tableStyleInfo name="TableStyleLight1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A80136-DBE7-4C11-BAC7-03D9EA051FD6}" name="Fat_Fev" displayName="Fat_Fev" ref="B15:N31" totalsRowShown="0" headerRowDxfId="522" dataDxfId="520" headerRowBorderDxfId="521" tableBorderDxfId="519">
  <autoFilter ref="B15:N31" xr:uid="{91A80136-DBE7-4C11-BAC7-03D9EA051FD6}"/>
  <tableColumns count="13">
    <tableColumn id="1" xr3:uid="{D9C477DF-AE26-4214-8013-D0C20CFBA6FD}" name="Data" dataDxfId="518"/>
    <tableColumn id="2" xr3:uid="{FEF220C1-23C9-4FA6-9276-969DEBEF5518}" name="Cliente" dataDxfId="517"/>
    <tableColumn id="3" xr3:uid="{F1556CA5-DD9F-40BA-BB2D-058E20A1E1BA}" name="NIF" dataDxfId="516"/>
    <tableColumn id="13" xr3:uid="{3E7334AA-BA9F-4C47-9CC9-DDF3F4D4B7E6}" name="Tipologia" dataDxfId="515"/>
    <tableColumn id="4" xr3:uid="{A320E7A6-B4E0-4EE6-AF1F-69FC713DD651}" name="Descrição" dataDxfId="514"/>
    <tableColumn id="5" xr3:uid="{1BF9FA33-06CD-45A3-9036-505D66868FA1}" name="Nº Fatura" dataDxfId="513"/>
    <tableColumn id="6" xr3:uid="{9CA9F9DB-CE70-4D90-A706-948C0120EA8C}" name="Prestação" dataDxfId="512"/>
    <tableColumn id="7" xr3:uid="{80D3C722-F5AC-403C-9C0F-1477B58A03C8}" name="Base" dataDxfId="511"/>
    <tableColumn id="8" xr3:uid="{89B778A5-AE9E-4451-A8CA-88309E87A22F}" name="IVA " dataDxfId="510">
      <calculatedColumnFormula>Fat_Fev[[#This Row],[Base]]*0.23</calculatedColumnFormula>
    </tableColumn>
    <tableColumn id="9" xr3:uid="{893B6EB8-E913-41EF-BB87-89165992ADC6}" name="Retenção" dataDxfId="509">
      <calculatedColumnFormula>Fat_Fev[[#This Row],[Base]]*0.23</calculatedColumnFormula>
    </tableColumn>
    <tableColumn id="10" xr3:uid="{3E51521D-7B8B-447C-BB1A-EEBFF1277A5C}" name="Total" dataDxfId="508">
      <calculatedColumnFormula>+I16+J16-K16</calculatedColumnFormula>
    </tableColumn>
    <tableColumn id="11" xr3:uid="{40E796B6-586C-42E9-8D2B-3129E24CCB53}" name="Estado" dataDxfId="507"/>
    <tableColumn id="12" xr3:uid="{19D7EE20-038C-4A8E-9164-A47BB4602C9C}" name="Método Recebimento" dataDxfId="506"/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F2371E2-4127-4F11-BA25-B5DF70864FCA}" name="Desp_Fev" displayName="Desp_Fev" ref="P15:Y23" totalsRowShown="0" headerRowDxfId="505" dataDxfId="503" headerRowBorderDxfId="504" tableBorderDxfId="502">
  <autoFilter ref="P15:Y23" xr:uid="{271DD0FC-9AE8-4AD5-8C0E-89727377326F}"/>
  <tableColumns count="10">
    <tableColumn id="1" xr3:uid="{C22ACA91-C2D4-4526-A7A7-AFB0D38F63C8}" name="Data" dataDxfId="501"/>
    <tableColumn id="2" xr3:uid="{0C5696F2-F75E-4A2C-A34E-786024A69FB6}" name="Fornecedor" dataDxfId="500"/>
    <tableColumn id="3" xr3:uid="{F02B1BA0-9555-4DD9-88C6-670165184EEA}" name="NIF" dataDxfId="499"/>
    <tableColumn id="4" xr3:uid="{BEE2FE7B-6CD8-4647-8575-A6883A387128}" name="Nº Fatura" dataDxfId="498"/>
    <tableColumn id="5" xr3:uid="{899D9255-70AA-419F-9EB7-0B269C63C970}" name="Tipo" dataDxfId="497"/>
    <tableColumn id="6" xr3:uid="{EFAF11DE-6717-457F-820B-FDF301E4A562}" name="Base" dataDxfId="496"/>
    <tableColumn id="7" xr3:uid="{14AD5911-2862-4D54-8A5E-6AC034AC15BE}" name="IVA " dataDxfId="495"/>
    <tableColumn id="8" xr3:uid="{0FC3965C-A182-4A44-BC18-6B829D1DDF03}" name="Total" dataDxfId="494">
      <calculatedColumnFormula>+Desp_Fev[[#This Row],[Base]]+Desp_Fev[[#This Row],[IVA ]]</calculatedColumnFormula>
    </tableColumn>
    <tableColumn id="10" xr3:uid="{F9AE0AE9-6BEE-48DA-A618-E46199BC2FF9}" name="Estado" dataDxfId="493"/>
    <tableColumn id="9" xr3:uid="{5D1BBE00-A81F-4B19-B1EE-C976E2B258E3}" name="Método Pagamento" dataDxfId="492"/>
  </tableColumns>
  <tableStyleInfo name="TableStyleLight1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FFDF2D-060A-4904-9598-94CFD1BCE0A2}" name="Fat_Mar" displayName="Fat_Mar" ref="B15:N28" totalsRowShown="0" headerRowDxfId="491" dataDxfId="489" headerRowBorderDxfId="490" tableBorderDxfId="488">
  <autoFilter ref="B15:N28" xr:uid="{6D4B4988-66D2-4FAF-BDC8-1C0FB9F04370}"/>
  <tableColumns count="13">
    <tableColumn id="1" xr3:uid="{CCDD0CB4-0C6B-4D61-8580-3873A3C1D02D}" name="Data" dataDxfId="487"/>
    <tableColumn id="2" xr3:uid="{D775738E-C2FC-4544-8688-47EAA45548FC}" name="Cliente" dataDxfId="486"/>
    <tableColumn id="3" xr3:uid="{AE45A649-FF6B-4B92-B1BF-058BE442F0CD}" name="NIF" dataDxfId="485"/>
    <tableColumn id="13" xr3:uid="{06BC78FA-AC9E-430C-8305-23D28ADE1BF3}" name="Tipologia" dataDxfId="484"/>
    <tableColumn id="4" xr3:uid="{37420449-12C6-4287-A7CC-F0545B4B6069}" name="Descrição" dataDxfId="483"/>
    <tableColumn id="5" xr3:uid="{CF9115A4-C5C2-4BBB-9C6F-DD24FC93350C}" name="Nº Fatura" dataDxfId="482"/>
    <tableColumn id="6" xr3:uid="{FB2AB5A2-9C84-4B0D-9203-949AC94A3047}" name="Prestação" dataDxfId="481"/>
    <tableColumn id="7" xr3:uid="{CA08FA39-D787-431F-B596-19B19CE1005F}" name="Base" dataDxfId="480"/>
    <tableColumn id="8" xr3:uid="{1641B007-3C23-4033-9D35-81846DB950BB}" name="IVA " dataDxfId="479">
      <calculatedColumnFormula>Fat_Mar[[#This Row],[Base]]*0.23</calculatedColumnFormula>
    </tableColumn>
    <tableColumn id="9" xr3:uid="{5FA25FEC-0771-4FC2-B4DE-79C82DAEBE41}" name="Retenção" dataDxfId="478">
      <calculatedColumnFormula>Fat_Mar[[#This Row],[Base]]*0.23</calculatedColumnFormula>
    </tableColumn>
    <tableColumn id="10" xr3:uid="{B0F19036-4A67-4C91-AB52-1703C9154990}" name="Total" dataDxfId="477">
      <calculatedColumnFormula>+I16+J16-K16</calculatedColumnFormula>
    </tableColumn>
    <tableColumn id="11" xr3:uid="{C406FD8B-45F7-42E2-AFFC-94F2C8DBFA8D}" name="Estado" dataDxfId="476"/>
    <tableColumn id="12" xr3:uid="{EF66A30A-48BC-4EDE-8414-E60428C60AD6}" name="Método Recebimento" dataDxfId="475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2BD059C-F4B6-4A47-AF1C-0D1D852DE4CC}" name="Desp_Mar" displayName="Desp_Mar" ref="P15:Y23" totalsRowShown="0" headerRowDxfId="474" dataDxfId="472" headerRowBorderDxfId="473" tableBorderDxfId="471">
  <autoFilter ref="P15:Y23" xr:uid="{271DD0FC-9AE8-4AD5-8C0E-89727377326F}"/>
  <tableColumns count="10">
    <tableColumn id="1" xr3:uid="{4D91B455-BA1F-4E06-B46F-2D1027088A2E}" name="Data" dataDxfId="470"/>
    <tableColumn id="2" xr3:uid="{8BA5231C-FA4D-4F58-A5A6-5855B7ADCF6A}" name="Fornecedor" dataDxfId="469"/>
    <tableColumn id="3" xr3:uid="{D65D934B-737B-4B40-BE91-DA83A93DA43F}" name="NIF" dataDxfId="468"/>
    <tableColumn id="4" xr3:uid="{5056B488-4353-4C62-812D-75212FCE818B}" name="Nº Fatura" dataDxfId="467"/>
    <tableColumn id="5" xr3:uid="{D6ADEC85-E904-442B-868A-C5F696E76FB2}" name="Tipo" dataDxfId="466"/>
    <tableColumn id="6" xr3:uid="{6A89F8CA-7F2D-4C8D-B0C3-54218D2764F1}" name="Base" dataDxfId="465"/>
    <tableColumn id="7" xr3:uid="{46C83503-16CD-40F8-A096-015468A53F5F}" name="IVA " dataDxfId="464"/>
    <tableColumn id="8" xr3:uid="{A7A13A1B-A979-4A49-87D2-1282848D2441}" name="Total" dataDxfId="463">
      <calculatedColumnFormula>+Desp_Mar[[#This Row],[Base]]+Desp_Mar[[#This Row],[IVA ]]</calculatedColumnFormula>
    </tableColumn>
    <tableColumn id="10" xr3:uid="{65F07296-BBB1-4137-9C4F-4E3F0A2D0D46}" name="Estado" dataDxfId="462"/>
    <tableColumn id="9" xr3:uid="{04E1A1D7-B0D0-4B12-9693-9B1FE322C00A}" name="Método Pagamento" dataDxfId="461"/>
  </tableColumns>
  <tableStyleInfo name="TableStyleLight1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2D8F714-2A15-495A-82FB-506DB374C73F}" name="Fat_Abr" displayName="Fat_Abr" ref="B15:N33" totalsRowShown="0" headerRowDxfId="460" dataDxfId="458" headerRowBorderDxfId="459" tableBorderDxfId="457">
  <autoFilter ref="B15:N33" xr:uid="{6D4B4988-66D2-4FAF-BDC8-1C0FB9F04370}"/>
  <tableColumns count="13">
    <tableColumn id="1" xr3:uid="{CB2413AA-65B3-45D4-9C95-A9F44301068E}" name="Data" dataDxfId="456"/>
    <tableColumn id="2" xr3:uid="{83D3C32F-E8F5-48E6-AB1D-64B31075C0B3}" name="Cliente" dataDxfId="455"/>
    <tableColumn id="3" xr3:uid="{D377F6FB-5EE0-4006-8E6C-35C30A8E929E}" name="NIF" dataDxfId="454"/>
    <tableColumn id="13" xr3:uid="{5A5A5A70-350D-4E74-B01D-3EE20823F7E7}" name="Tipologia" dataDxfId="453"/>
    <tableColumn id="4" xr3:uid="{8F50FC4A-4487-4A4B-B2CE-0445293C6D9B}" name="Descrição" dataDxfId="452"/>
    <tableColumn id="5" xr3:uid="{5CF539DF-5703-4ABE-BBE1-0A375832996F}" name="Nº Fatura" dataDxfId="451"/>
    <tableColumn id="6" xr3:uid="{3AC1C6CC-FF67-4E06-9576-7D406DAF33DB}" name="Prestação" dataDxfId="450"/>
    <tableColumn id="7" xr3:uid="{203CD32D-0217-4B9C-B634-C9B5DF1CE6A9}" name="Base" dataDxfId="449"/>
    <tableColumn id="8" xr3:uid="{07516D84-7CD5-4931-AF46-A853D5B97C39}" name="IVA " dataDxfId="448">
      <calculatedColumnFormula>Fat_Abr[[#This Row],[Base]]*0.23</calculatedColumnFormula>
    </tableColumn>
    <tableColumn id="9" xr3:uid="{5DD8A6EA-8722-49A3-9F98-407279A8D1E8}" name="Retenção" dataDxfId="447">
      <calculatedColumnFormula>Fat_Abr[[#This Row],[Base]]*0.23</calculatedColumnFormula>
    </tableColumn>
    <tableColumn id="10" xr3:uid="{711B474F-2652-4004-B158-5660B4A39A84}" name="Total" dataDxfId="446">
      <calculatedColumnFormula>+I16+J16-K16</calculatedColumnFormula>
    </tableColumn>
    <tableColumn id="11" xr3:uid="{D3A9478A-DB1A-423E-B374-4E5170FF1AB6}" name="Estado" dataDxfId="445"/>
    <tableColumn id="12" xr3:uid="{94406916-3FCC-46C0-A14A-6C26A6B3D118}" name="Método Recebimento" dataDxfId="444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7633938-31E1-4F7B-94D9-4A820CF013CD}" name="Desp_Abr" displayName="Desp_Abr" ref="P15:Y23" totalsRowShown="0" headerRowDxfId="443" dataDxfId="441" headerRowBorderDxfId="442" tableBorderDxfId="440">
  <autoFilter ref="P15:Y23" xr:uid="{271DD0FC-9AE8-4AD5-8C0E-89727377326F}"/>
  <tableColumns count="10">
    <tableColumn id="1" xr3:uid="{7A3B1E0B-FC16-43F5-9F1C-33588C7B66BF}" name="Data" dataDxfId="439"/>
    <tableColumn id="2" xr3:uid="{99EC49BE-6DB7-4B64-BFD2-6F72D0BAFA73}" name="Fornecedor" dataDxfId="438"/>
    <tableColumn id="3" xr3:uid="{ADE0C233-3C38-4D96-9E73-17A071AD3EA0}" name="NIF" dataDxfId="437"/>
    <tableColumn id="4" xr3:uid="{82C12FE9-4A73-4610-922F-AF309D7A1C37}" name="Nº Fatura" dataDxfId="436"/>
    <tableColumn id="5" xr3:uid="{9238CD1E-F9C6-4E2B-B66A-4FC722A08A33}" name="Tipo" dataDxfId="435"/>
    <tableColumn id="6" xr3:uid="{110A621F-5711-4AA4-BE51-60AF9D8DE5CB}" name="Base" dataDxfId="434"/>
    <tableColumn id="7" xr3:uid="{D16A4A48-CD31-4080-A98A-CB3BEA8FB880}" name="IVA " dataDxfId="433"/>
    <tableColumn id="8" xr3:uid="{7993C976-E1CB-4CBD-8949-017A4278F92B}" name="Total" dataDxfId="432">
      <calculatedColumnFormula>+Desp_Abr[[#This Row],[Base]]+Desp_Abr[[#This Row],[IVA ]]</calculatedColumnFormula>
    </tableColumn>
    <tableColumn id="10" xr3:uid="{947B7B22-5D3E-46F6-AA68-13B128068789}" name="Estado" dataDxfId="431"/>
    <tableColumn id="9" xr3:uid="{4F81FBA5-3EC7-4BAB-AFEE-8F90FC10C9B6}" name="Método Pagamento" dataDxfId="430"/>
  </tableColumns>
  <tableStyleInfo name="TableStyleLight1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7AFA54-A69B-4D10-9AD8-8C13B64B1D69}" name="Fat_Mai" displayName="Fat_Mai" ref="B15:N31" totalsRowShown="0" headerRowDxfId="429" dataDxfId="427" headerRowBorderDxfId="428" tableBorderDxfId="426">
  <autoFilter ref="B15:N31" xr:uid="{6D4B4988-66D2-4FAF-BDC8-1C0FB9F04370}"/>
  <tableColumns count="13">
    <tableColumn id="1" xr3:uid="{AA75B9DF-7617-45C5-A26F-4E3E58F49ECA}" name="Data" dataDxfId="425"/>
    <tableColumn id="2" xr3:uid="{F0A89EC4-AC98-4855-BCE0-A73838226F40}" name="Cliente" dataDxfId="424"/>
    <tableColumn id="3" xr3:uid="{05893149-312B-47CA-868C-5EFCF14AF2C2}" name="NIF" dataDxfId="423"/>
    <tableColumn id="13" xr3:uid="{98EC6BF9-A6DE-4361-8C92-9681D5491A7D}" name="Tipologia" dataDxfId="422"/>
    <tableColumn id="4" xr3:uid="{F307B12A-F4E7-405A-954F-B5C6B22938D1}" name="Descrição" dataDxfId="421"/>
    <tableColumn id="5" xr3:uid="{28E1D2A3-7160-47DD-A4A9-4BD92A4FB9A7}" name="Nº Fatura" dataDxfId="420"/>
    <tableColumn id="6" xr3:uid="{0B637EAA-F7D9-4974-A184-9B9E5DFBFDBB}" name="Prestação" dataDxfId="419"/>
    <tableColumn id="7" xr3:uid="{2A16C358-91E7-4339-90D1-0309EFB35726}" name="Base" dataDxfId="418"/>
    <tableColumn id="8" xr3:uid="{9A3E3AC2-1862-4CD6-BE5A-7DFB298D55D3}" name="IVA " dataDxfId="417">
      <calculatedColumnFormula>Fat_Mai[[#This Row],[Base]]*0.23</calculatedColumnFormula>
    </tableColumn>
    <tableColumn id="9" xr3:uid="{DAEC4CB4-9733-41C6-9C0C-E3EA2516B800}" name="Retenção" dataDxfId="416">
      <calculatedColumnFormula>Fat_Mai[[#This Row],[Base]]*0.23</calculatedColumnFormula>
    </tableColumn>
    <tableColumn id="10" xr3:uid="{57E46E61-23D0-4A8C-938B-9470608E8AFD}" name="Total" dataDxfId="415">
      <calculatedColumnFormula>+I16+J16-K16</calculatedColumnFormula>
    </tableColumn>
    <tableColumn id="11" xr3:uid="{78F1E252-8CA0-4103-BD7D-B015987223AD}" name="Estado" dataDxfId="414"/>
    <tableColumn id="12" xr3:uid="{F0C095A2-620C-4E5A-9787-CF2CD1CC6E00}" name="Método Recebimento" dataDxfId="413"/>
  </tableColumns>
  <tableStyleInfo name="TableStyleLight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7D411ED-901A-4EDC-A077-ECF00658BDBE}" name="Desp_Mai" displayName="Desp_Mai" ref="P15:Y28" totalsRowShown="0" headerRowDxfId="412" dataDxfId="410" headerRowBorderDxfId="411" tableBorderDxfId="409">
  <autoFilter ref="P15:Y28" xr:uid="{271DD0FC-9AE8-4AD5-8C0E-89727377326F}"/>
  <tableColumns count="10">
    <tableColumn id="1" xr3:uid="{7046D0EC-632C-447B-BFF3-A3A9FC92AA39}" name="Data" dataDxfId="408"/>
    <tableColumn id="2" xr3:uid="{587372F8-273C-4E78-878F-1A34A9E87532}" name="Fornecedor" dataDxfId="407"/>
    <tableColumn id="3" xr3:uid="{5F423A63-10CE-4822-85F4-5AD9BD5F9116}" name="NIF" dataDxfId="406"/>
    <tableColumn id="4" xr3:uid="{DCF17B66-AED4-401A-9551-498B02194A6D}" name="Nº Fatura" dataDxfId="405"/>
    <tableColumn id="5" xr3:uid="{DEA380EB-E5A2-4190-A197-A18671AE9B48}" name="Tipo" dataDxfId="404"/>
    <tableColumn id="6" xr3:uid="{FF549032-CD78-492C-AB22-B58051B2E089}" name="Base" dataDxfId="403"/>
    <tableColumn id="7" xr3:uid="{48415D14-3167-4FC7-98E6-F2519A2F5894}" name="IVA " dataDxfId="402"/>
    <tableColumn id="8" xr3:uid="{D514351D-5CA6-4753-9790-C978E531759E}" name="Total" dataDxfId="401">
      <calculatedColumnFormula>+Desp_Mai[[#This Row],[Base]]+Desp_Mai[[#This Row],[IVA ]]</calculatedColumnFormula>
    </tableColumn>
    <tableColumn id="10" xr3:uid="{FA5F15D1-1E49-4BEE-B143-3D5872B137B5}" name="Estado" dataDxfId="400"/>
    <tableColumn id="9" xr3:uid="{ECDFD74A-A8A7-41A8-B96C-86122D3B6B37}" name="Método Pagamento" dataDxfId="399"/>
  </tableColumns>
  <tableStyleInfo name="TableStyleLight1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900F69A-3825-4474-BD02-046FBACFC5B5}" name="Fat_Jun" displayName="Fat_Jun" ref="B15:N40" totalsRowShown="0" headerRowDxfId="398" dataDxfId="396" headerRowBorderDxfId="397" tableBorderDxfId="395">
  <autoFilter ref="B15:N40" xr:uid="{6D4B4988-66D2-4FAF-BDC8-1C0FB9F04370}"/>
  <tableColumns count="13">
    <tableColumn id="1" xr3:uid="{0373C400-9788-4FB2-AE0B-20C033CCF338}" name="Data" dataDxfId="394"/>
    <tableColumn id="2" xr3:uid="{BA24EBEF-ABC9-4B59-8E04-76409AC7BEFB}" name="Cliente" dataDxfId="393"/>
    <tableColumn id="3" xr3:uid="{58F604EB-2B53-4C0B-A242-2EA993DF1C57}" name="NIF" dataDxfId="392"/>
    <tableColumn id="13" xr3:uid="{1C0F666A-CBF0-41A8-A95A-E8E2AE37AA28}" name="Tipologia" dataDxfId="391"/>
    <tableColumn id="4" xr3:uid="{AB2485D0-136D-4BDB-9DDB-0F149D55A2FC}" name="Descrição" dataDxfId="390"/>
    <tableColumn id="5" xr3:uid="{CEB81FB4-AF84-4763-A69C-2AC437B9CAC0}" name="Nº Fatura" dataDxfId="389"/>
    <tableColumn id="6" xr3:uid="{5B4073CA-DF98-4706-8713-10FEC3193A47}" name="Prestação" dataDxfId="388"/>
    <tableColumn id="7" xr3:uid="{B1B734E3-1E7F-4E98-91B4-43E84BBEC173}" name="Base" dataDxfId="387"/>
    <tableColumn id="8" xr3:uid="{6FE1953B-D7D8-4FCA-A11C-0393D6E6578F}" name="IVA " dataDxfId="386">
      <calculatedColumnFormula>Fat_Jun[[#This Row],[Base]]*0.23</calculatedColumnFormula>
    </tableColumn>
    <tableColumn id="9" xr3:uid="{C6192999-6189-4477-AD30-4EA7DF57E692}" name="Retenção" dataDxfId="385">
      <calculatedColumnFormula>Fat_Jun[[#This Row],[Base]]*0.23</calculatedColumnFormula>
    </tableColumn>
    <tableColumn id="10" xr3:uid="{205EBF34-5939-4BA4-89B1-EBDFB830AF40}" name="Total" dataDxfId="384">
      <calculatedColumnFormula>+I16+J16-K16</calculatedColumnFormula>
    </tableColumn>
    <tableColumn id="11" xr3:uid="{1FF5D058-3740-4186-8EA1-6E5896D8A112}" name="Estado" dataDxfId="383"/>
    <tableColumn id="12" xr3:uid="{4B0A04C4-A9DD-47F0-949B-1AFC0193E096}" name="Método Recebimento" dataDxfId="382"/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6785FC5-9A0A-4A0C-AE58-2FDD98E676DB}" name="Desp_Jun" displayName="Desp_Jun" ref="P15:Y28" totalsRowShown="0" headerRowDxfId="381" dataDxfId="379" headerRowBorderDxfId="380" tableBorderDxfId="378">
  <autoFilter ref="P15:Y28" xr:uid="{271DD0FC-9AE8-4AD5-8C0E-89727377326F}"/>
  <tableColumns count="10">
    <tableColumn id="1" xr3:uid="{DB869115-75F4-4F0E-8B86-98CC04804E98}" name="Data" dataDxfId="377"/>
    <tableColumn id="2" xr3:uid="{508C3ABB-91D7-420B-B0D1-74A60BAA85D1}" name="Fornecedor" dataDxfId="376"/>
    <tableColumn id="3" xr3:uid="{CA6A1917-4E33-4C06-902D-3AE0060A2DFB}" name="NIF" dataDxfId="375"/>
    <tableColumn id="4" xr3:uid="{DD236DA9-54DA-413B-A6FB-8C9C22A6DCB5}" name="Nº Fatura" dataDxfId="374"/>
    <tableColumn id="5" xr3:uid="{F036BC2A-149B-42BD-991B-5BB7E03C1608}" name="Tipo" dataDxfId="373"/>
    <tableColumn id="6" xr3:uid="{79A0A08A-9CF5-4DC4-A884-FAC2433777DE}" name="Base" dataDxfId="372"/>
    <tableColumn id="7" xr3:uid="{ED67F8E6-BE7F-4544-AE08-5BE472B9FD77}" name="IVA " dataDxfId="371"/>
    <tableColumn id="8" xr3:uid="{FE29F95D-8DEC-41FA-A5E4-7D2C4214BFF8}" name="Total" dataDxfId="370">
      <calculatedColumnFormula>+Desp_Jun[[#This Row],[Base]]+Desp_Jun[[#This Row],[IVA ]]</calculatedColumnFormula>
    </tableColumn>
    <tableColumn id="10" xr3:uid="{E780D0C2-5CB6-4A74-9C9F-E973CF0BC149}" name="Estado" dataDxfId="369"/>
    <tableColumn id="9" xr3:uid="{7139FC65-90E8-42BC-B7E1-12BA15C41814}" name="Método Pagamento" dataDxfId="368"/>
  </tableColumns>
  <tableStyleInfo name="TableStyleLight1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8D1BAA6-D69B-456E-A4E7-D34929BB5FF8}" name="Fat_Jul" displayName="Fat_Jul" ref="B15:N66" totalsRowShown="0" headerRowDxfId="367" dataDxfId="365" headerRowBorderDxfId="366" tableBorderDxfId="364">
  <autoFilter ref="B15:N66" xr:uid="{6D4B4988-66D2-4FAF-BDC8-1C0FB9F04370}"/>
  <tableColumns count="13">
    <tableColumn id="1" xr3:uid="{A429E4A9-022F-462C-9C5E-CEAF88FCEDCC}" name="Data" dataDxfId="363"/>
    <tableColumn id="2" xr3:uid="{F6368E7B-CFAD-4C8A-8D74-265436BB15A2}" name="Cliente" dataDxfId="362"/>
    <tableColumn id="3" xr3:uid="{51E79392-753C-42FF-B9A5-E8862E9E5161}" name="NIF" dataDxfId="361"/>
    <tableColumn id="13" xr3:uid="{7C7B3E46-E0E6-4CF8-9A69-F42D243CB8BA}" name="Tipologia" dataDxfId="360"/>
    <tableColumn id="4" xr3:uid="{5FD020BD-6371-49A5-9FB9-9277224BF9A9}" name="Descrição" dataDxfId="359"/>
    <tableColumn id="5" xr3:uid="{9D038A74-021F-4625-B256-D74324F5571B}" name="Nº Fatura" dataDxfId="358"/>
    <tableColumn id="6" xr3:uid="{7E140517-A346-4BBD-81E0-7CF9FACA266F}" name="Prestação" dataDxfId="357"/>
    <tableColumn id="7" xr3:uid="{3104DDCF-59CC-45CF-A753-EB717E287BFD}" name="Base" dataDxfId="356"/>
    <tableColumn id="8" xr3:uid="{8493337A-B549-4444-B0E9-8C65BC920BC0}" name="IVA " dataDxfId="355">
      <calculatedColumnFormula>Fat_Jul[[#This Row],[Base]]*0.23</calculatedColumnFormula>
    </tableColumn>
    <tableColumn id="9" xr3:uid="{6BEDB5EC-CE51-44F1-8421-EDC8260C1B34}" name="Retenção" dataDxfId="354">
      <calculatedColumnFormula>Fat_Jul[[#This Row],[Base]]*0.23</calculatedColumnFormula>
    </tableColumn>
    <tableColumn id="10" xr3:uid="{61A5D1EC-D190-44F6-9D2D-42F47C315CFA}" name="Total" dataDxfId="353">
      <calculatedColumnFormula>+I16+J16-K16</calculatedColumnFormula>
    </tableColumn>
    <tableColumn id="11" xr3:uid="{6D348B51-85B6-4C56-9264-708BA6C52B88}" name="Estado" dataDxfId="352"/>
    <tableColumn id="12" xr3:uid="{E3206D22-AC21-4608-837A-12C01A60B3F6}" name="Método Recebimento" dataDxfId="351"/>
  </tableColumns>
  <tableStyleInfo name="TableStyleLight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EDABDA3-ADEF-47E2-A01B-A57F3C55D8CD}" name="Desp_Jul" displayName="Desp_Jul" ref="P15:Y22" totalsRowShown="0" headerRowDxfId="350" dataDxfId="348" headerRowBorderDxfId="349" tableBorderDxfId="347">
  <autoFilter ref="P15:Y22" xr:uid="{271DD0FC-9AE8-4AD5-8C0E-89727377326F}"/>
  <tableColumns count="10">
    <tableColumn id="1" xr3:uid="{8E8F3A2A-D3C3-436C-A64E-381261BD641D}" name="Data" dataDxfId="346"/>
    <tableColumn id="2" xr3:uid="{2483B084-2455-4950-ADDE-CCAFCCFE1786}" name="Fornecedor" dataDxfId="345"/>
    <tableColumn id="3" xr3:uid="{C6D7FB4D-7233-401D-A11E-6B5403A4621E}" name="NIF" dataDxfId="344"/>
    <tableColumn id="4" xr3:uid="{12EE0C04-C506-4B8F-9D41-B9473A315A48}" name="Nº Fatura" dataDxfId="343"/>
    <tableColumn id="5" xr3:uid="{F5584770-CCC8-4C33-A9ED-538FC51E57BD}" name="Tipo" dataDxfId="342"/>
    <tableColumn id="6" xr3:uid="{3DEFA1DD-9F25-4490-92B6-0998A1EFDF82}" name="Base" dataDxfId="341"/>
    <tableColumn id="7" xr3:uid="{3F975B6F-EC22-4C03-AAEF-5931D02B0DED}" name="IVA " dataDxfId="340"/>
    <tableColumn id="8" xr3:uid="{18EF1BAA-8183-4074-9C35-2FF1260DB7F7}" name="Total" dataDxfId="339">
      <calculatedColumnFormula>+Desp_Jul[[#This Row],[Base]]+Desp_Jul[[#This Row],[IVA ]]</calculatedColumnFormula>
    </tableColumn>
    <tableColumn id="10" xr3:uid="{20D3CE06-C4C0-41AB-83FE-5240587AEA71}" name="Estado" dataDxfId="338"/>
    <tableColumn id="9" xr3:uid="{98B2CD5B-1F15-4F8C-B39E-54CED676405D}" name="Método Pagamento" dataDxfId="337"/>
  </tableColumns>
  <tableStyleInfo name="TableStyleLight1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BD12FF8-5402-4AD7-AB45-B917363EDF43}" name="Fat_Ago" displayName="Fat_Ago" ref="B15:N31" totalsRowShown="0" headerRowDxfId="336" dataDxfId="334" headerRowBorderDxfId="335" tableBorderDxfId="333">
  <autoFilter ref="B15:N31" xr:uid="{6D4B4988-66D2-4FAF-BDC8-1C0FB9F04370}"/>
  <tableColumns count="13">
    <tableColumn id="1" xr3:uid="{2D1E981E-A6A8-4FEB-9739-6CE1BAA3E99A}" name="Data" dataDxfId="332"/>
    <tableColumn id="2" xr3:uid="{BD2570AC-8CB2-43C7-A44C-4A0E0D1E4671}" name="Cliente" dataDxfId="331"/>
    <tableColumn id="3" xr3:uid="{3E50F13A-A9A0-46B0-908C-6EDF2A0549E7}" name="NIF" dataDxfId="330"/>
    <tableColumn id="13" xr3:uid="{3CBD57EE-2104-44FB-A6A5-A83FBC285D69}" name="Tipologia" dataDxfId="329"/>
    <tableColumn id="4" xr3:uid="{7950F708-57D2-49EF-96EB-26A5ADA83DFA}" name="Descrição" dataDxfId="328"/>
    <tableColumn id="5" xr3:uid="{E6350162-E5CD-4315-941C-3FE8A02E08EA}" name="Nº Fatura" dataDxfId="327"/>
    <tableColumn id="6" xr3:uid="{5A23BA3D-5AB0-4EF2-A578-9B473AF31052}" name="Prestação" dataDxfId="326"/>
    <tableColumn id="7" xr3:uid="{45D49D53-1DCA-465D-919E-F980B2A43246}" name="Base" dataDxfId="325"/>
    <tableColumn id="8" xr3:uid="{5695FE7C-8537-44CE-A950-9AF0BF1A584A}" name="IVA " dataDxfId="324">
      <calculatedColumnFormula>Fat_Ago[[#This Row],[Base]]*0.23</calculatedColumnFormula>
    </tableColumn>
    <tableColumn id="9" xr3:uid="{39C05491-1212-41A1-BA0E-DFFEEC9861BB}" name="Retenção" dataDxfId="323"/>
    <tableColumn id="10" xr3:uid="{A7401A64-D8B3-48D4-8653-8D00D0C22EEE}" name="Total" dataDxfId="322">
      <calculatedColumnFormula>+I16+J16-K16</calculatedColumnFormula>
    </tableColumn>
    <tableColumn id="11" xr3:uid="{C15FAFE6-41B1-4D19-B00A-57B2F5B7D199}" name="Estado" dataDxfId="321"/>
    <tableColumn id="12" xr3:uid="{D9EA44F2-F489-4521-9761-5DED0CC585A7}" name="Método Recebimento" dataDxfId="320"/>
  </tableColumns>
  <tableStyleInfo name="TableStyleLight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7F45098-B23F-4EEB-A94D-80B13E8BCD74}" name="Desp_Ago" displayName="Desp_Ago" ref="P15:Y22" totalsRowShown="0" headerRowDxfId="319" dataDxfId="317" headerRowBorderDxfId="318" tableBorderDxfId="316">
  <autoFilter ref="P15:Y22" xr:uid="{271DD0FC-9AE8-4AD5-8C0E-89727377326F}"/>
  <tableColumns count="10">
    <tableColumn id="1" xr3:uid="{5C95B3FA-45D5-40F6-A1CA-0A284F186EB0}" name="Data" dataDxfId="315"/>
    <tableColumn id="2" xr3:uid="{3E956A1E-2B9C-43C3-B565-0296FF394734}" name="Fornecedor" dataDxfId="314"/>
    <tableColumn id="3" xr3:uid="{61752EB2-1FCA-4396-B1F4-A0E4877F87DC}" name="NIF" dataDxfId="313"/>
    <tableColumn id="4" xr3:uid="{21407F81-70F9-47A8-8541-C5BEF6A19999}" name="Nº Fatura" dataDxfId="312"/>
    <tableColumn id="5" xr3:uid="{150422DF-9136-42A8-AD2B-5FF3A68423C0}" name="Tipo" dataDxfId="311"/>
    <tableColumn id="6" xr3:uid="{5F82054B-2233-4B2B-A3E8-FB53FA2D1E83}" name="Base" dataDxfId="310"/>
    <tableColumn id="7" xr3:uid="{A9C77D74-60B7-4F4C-A7F7-A078F110CB5E}" name="IVA " dataDxfId="309">
      <calculatedColumnFormula>+Desp_Ago[[#This Row],[Base]]*0.23</calculatedColumnFormula>
    </tableColumn>
    <tableColumn id="8" xr3:uid="{9F81927F-ECB3-4EE7-AF7F-85D40FE436DC}" name="Total" dataDxfId="308">
      <calculatedColumnFormula>+Desp_Ago[[#This Row],[Base]]+Desp_Ago[[#This Row],[IVA ]]</calculatedColumnFormula>
    </tableColumn>
    <tableColumn id="10" xr3:uid="{5E1B673F-ED6B-40AD-BD14-E6E1C45520C4}" name="Estado" dataDxfId="307"/>
    <tableColumn id="9" xr3:uid="{0DF4FBFA-CF62-486B-B58B-DE2B4D4EE36C}" name="Método Pagamento" dataDxfId="306"/>
  </tableColumns>
  <tableStyleInfo name="TableStyleLight1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149A550-EDB1-41C6-AD59-55A64551150B}" name="Fat_Set" displayName="Fat_Set" ref="B15:N22" totalsRowShown="0" headerRowDxfId="305" dataDxfId="303" headerRowBorderDxfId="304" tableBorderDxfId="302">
  <autoFilter ref="B15:N22" xr:uid="{6D4B4988-66D2-4FAF-BDC8-1C0FB9F04370}"/>
  <tableColumns count="13">
    <tableColumn id="1" xr3:uid="{1B04F2B2-4C0A-4249-BBBE-75996729791B}" name="Data" dataDxfId="301"/>
    <tableColumn id="2" xr3:uid="{7DACE099-BB26-445B-B74D-647075185ADC}" name="Cliente" dataDxfId="300"/>
    <tableColumn id="3" xr3:uid="{A4175FD6-FEDB-4C1E-B708-283FC46B2C84}" name="NIF" dataDxfId="299"/>
    <tableColumn id="13" xr3:uid="{0D13DBC9-7B84-40BC-9B59-83E7C20956FE}" name="Tipologia" dataDxfId="298"/>
    <tableColumn id="4" xr3:uid="{9C371AD0-4AE4-46CC-9457-215B9AAFE6B4}" name="Descrição" dataDxfId="297"/>
    <tableColumn id="5" xr3:uid="{A0C05D86-9D09-4485-A6C4-214F6D51358D}" name="Nº Fatura" dataDxfId="296"/>
    <tableColumn id="6" xr3:uid="{11C372D8-C521-4E94-90BF-4CE90E79554F}" name="Prestação" dataDxfId="295"/>
    <tableColumn id="7" xr3:uid="{0D74582F-3392-4F15-98E2-D1C839437C60}" name="Base" dataDxfId="294"/>
    <tableColumn id="8" xr3:uid="{F780AB09-A17F-49AE-8BE8-66F50B7FFA34}" name="IVA " dataDxfId="293">
      <calculatedColumnFormula>Fat_Set[[#This Row],[Base]]*0.23</calculatedColumnFormula>
    </tableColumn>
    <tableColumn id="9" xr3:uid="{476CD94E-8AD0-4F01-A7E6-9BD3BF032390}" name="Retenção" dataDxfId="292">
      <calculatedColumnFormula>Fat_Set[[#This Row],[Base]]*0.23</calculatedColumnFormula>
    </tableColumn>
    <tableColumn id="10" xr3:uid="{3F15DA64-5C5A-42F2-BE17-6365524C3378}" name="Total" dataDxfId="291">
      <calculatedColumnFormula>+I16+J16-K16</calculatedColumnFormula>
    </tableColumn>
    <tableColumn id="11" xr3:uid="{22FBDB9E-59CC-4BC7-8ED6-E316BA19AD13}" name="Estado" dataDxfId="290"/>
    <tableColumn id="12" xr3:uid="{93A6C1FD-8B66-4895-A4AE-0711F0684B2F}" name="Método Recebimento" dataDxfId="289"/>
  </tableColumns>
  <tableStyleInfo name="TableStyleLight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8AA8CDC-7E0E-4B0A-9922-84A6C9C908AB}" name="Desp_Set" displayName="Desp_Set" ref="P15:Y22" totalsRowShown="0" headerRowDxfId="288" dataDxfId="286" headerRowBorderDxfId="287" tableBorderDxfId="285">
  <autoFilter ref="P15:Y22" xr:uid="{271DD0FC-9AE8-4AD5-8C0E-89727377326F}"/>
  <tableColumns count="10">
    <tableColumn id="1" xr3:uid="{56527934-8814-49D7-BAE7-7BFDCF9C6AAA}" name="Data" dataDxfId="284"/>
    <tableColumn id="2" xr3:uid="{D5CCCD34-D13A-4681-98FE-D1160ADC7698}" name="Fornecedor" dataDxfId="283"/>
    <tableColumn id="3" xr3:uid="{AB8ECC56-8C08-49FD-B021-BA6DEC6B5BDB}" name="NIF" dataDxfId="282"/>
    <tableColumn id="4" xr3:uid="{867574AE-EB57-4AC6-812A-3C509320E26F}" name="Nº Fatura" dataDxfId="281"/>
    <tableColumn id="5" xr3:uid="{59BDD575-7974-4111-9AA6-701EAA4532B2}" name="Tipo" dataDxfId="280"/>
    <tableColumn id="6" xr3:uid="{5AEDD0C7-A131-4E91-A8C2-D5A75FC6E1E4}" name="Base" dataDxfId="279"/>
    <tableColumn id="7" xr3:uid="{63B7C4F7-6DD1-4BC6-A979-670027EA72A4}" name="IVA " dataDxfId="278">
      <calculatedColumnFormula>+Desp_Set[[#This Row],[Base]]*0.23</calculatedColumnFormula>
    </tableColumn>
    <tableColumn id="8" xr3:uid="{8A4C4ADD-F72A-4C80-A44B-07154A406825}" name="Total" dataDxfId="277">
      <calculatedColumnFormula>+Desp_Set[[#This Row],[Base]]+Desp_Set[[#This Row],[IVA ]]</calculatedColumnFormula>
    </tableColumn>
    <tableColumn id="10" xr3:uid="{10AF04A5-7DEB-48AC-AB47-C27855B38E70}" name="Estado" dataDxfId="276"/>
    <tableColumn id="9" xr3:uid="{F6AD5C09-DE75-4FC9-9180-0B936F18D158}" name="Método Pagamento" dataDxfId="275"/>
  </tableColumns>
  <tableStyleInfo name="TableStyleLight1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2191BE2-1DAE-49BB-ADE1-A78CD9AA4C37}" name="Fat_Out" displayName="Fat_Out" ref="B15:N22" totalsRowShown="0" headerRowDxfId="274" dataDxfId="272" headerRowBorderDxfId="273" tableBorderDxfId="271">
  <autoFilter ref="B15:N22" xr:uid="{6D4B4988-66D2-4FAF-BDC8-1C0FB9F04370}"/>
  <tableColumns count="13">
    <tableColumn id="1" xr3:uid="{060545C7-9F57-41AB-8B88-B69D148F8D4B}" name="Data" dataDxfId="270"/>
    <tableColumn id="2" xr3:uid="{DC301923-97C5-440D-8F7F-7E77BDF207AD}" name="Cliente" dataDxfId="269"/>
    <tableColumn id="3" xr3:uid="{29EC1C7E-5777-4C69-B067-210C711D9508}" name="NIF" dataDxfId="268"/>
    <tableColumn id="13" xr3:uid="{C3983C88-1105-4522-9C48-08C826FCD8F7}" name="Tipologia" dataDxfId="267"/>
    <tableColumn id="4" xr3:uid="{85620A7C-8E65-4E1D-9052-70144C6FE684}" name="Descrição" dataDxfId="266"/>
    <tableColumn id="5" xr3:uid="{908EFB4C-A925-4602-9FCD-0034BDC3962A}" name="Nº Fatura" dataDxfId="265"/>
    <tableColumn id="6" xr3:uid="{0EEFE947-61E0-4317-AA87-BEEA213ED5A6}" name="Prestação" dataDxfId="264"/>
    <tableColumn id="7" xr3:uid="{3BD1EBBA-462A-43D0-B66B-F09E11B29B63}" name="Base" dataDxfId="263"/>
    <tableColumn id="8" xr3:uid="{2A684E80-AF61-4322-8A4F-BF0808A12E1D}" name="IVA " dataDxfId="262">
      <calculatedColumnFormula>Fat_Out[[#This Row],[Base]]*0.23</calculatedColumnFormula>
    </tableColumn>
    <tableColumn id="9" xr3:uid="{7BC20E5B-D078-49A8-AC6E-DBD6A13D133B}" name="Retenção" dataDxfId="261">
      <calculatedColumnFormula>Fat_Out[[#This Row],[Base]]*0.23</calculatedColumnFormula>
    </tableColumn>
    <tableColumn id="10" xr3:uid="{4AA4E21A-7905-48C3-8B41-26E411E541A4}" name="Total" dataDxfId="260">
      <calculatedColumnFormula>+I16+J16-K16</calculatedColumnFormula>
    </tableColumn>
    <tableColumn id="11" xr3:uid="{52969CD1-483F-4292-9E35-2F49A0A2AC71}" name="Estado" dataDxfId="259"/>
    <tableColumn id="12" xr3:uid="{601A8A99-F105-4964-A9F8-3DED64F4C00F}" name="Método Recebimento" dataDxfId="258"/>
  </tableColumns>
  <tableStyleInfo name="TableStyleLight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CE3D932-B317-4DDB-894F-DDD311CAC3B3}" name="Desp_Out" displayName="Desp_Out" ref="P15:Y22" totalsRowShown="0" headerRowDxfId="257" dataDxfId="255" headerRowBorderDxfId="256" tableBorderDxfId="254">
  <autoFilter ref="P15:Y22" xr:uid="{271DD0FC-9AE8-4AD5-8C0E-89727377326F}"/>
  <tableColumns count="10">
    <tableColumn id="1" xr3:uid="{AD3FF563-BF96-4703-BDC0-0D6EDBB76558}" name="Data" dataDxfId="253"/>
    <tableColumn id="2" xr3:uid="{4DBD3D7D-436A-4775-A33F-310EE9FAD925}" name="Fornecedor" dataDxfId="252"/>
    <tableColumn id="3" xr3:uid="{6D050A47-0366-4061-8C46-E29B198827BB}" name="NIF" dataDxfId="251"/>
    <tableColumn id="4" xr3:uid="{51F42929-CAC7-4265-A0F1-D13A03017019}" name="Nº Fatura" dataDxfId="250"/>
    <tableColumn id="5" xr3:uid="{D18DCF69-CF5A-4A8F-B266-42FBA17F07BA}" name="Tipo" dataDxfId="249"/>
    <tableColumn id="6" xr3:uid="{818A98ED-BBC2-4EE7-A63C-B9D5AB9705BA}" name="Base" dataDxfId="248"/>
    <tableColumn id="7" xr3:uid="{514B3EEA-F407-4ACF-9741-133EF26E0061}" name="IVA " dataDxfId="247">
      <calculatedColumnFormula>+Desp_Out[[#This Row],[Base]]*0.23</calculatedColumnFormula>
    </tableColumn>
    <tableColumn id="8" xr3:uid="{D1CE8EBC-E4E9-45E3-B94A-24CA89DEB403}" name="Total" dataDxfId="246">
      <calculatedColumnFormula>+Desp_Out[[#This Row],[Base]]+Desp_Out[[#This Row],[IVA ]]</calculatedColumnFormula>
    </tableColumn>
    <tableColumn id="10" xr3:uid="{9FBD4EC6-380E-4DDE-BA5D-62392B99188B}" name="Estado" dataDxfId="245"/>
    <tableColumn id="9" xr3:uid="{E3A8B8F3-91F8-4308-8E48-3D0A4BEF5DB1}" name="Método Pagamento" dataDxfId="244"/>
  </tableColumns>
  <tableStyleInfo name="TableStyleLight1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996EB4B-18ED-4814-AAC9-45539ECE799C}" name="Fat_Nov" displayName="Fat_Nov" ref="B15:N38" totalsRowShown="0" headerRowDxfId="243" dataDxfId="241" headerRowBorderDxfId="242" tableBorderDxfId="240">
  <autoFilter ref="B15:N38" xr:uid="{6D4B4988-66D2-4FAF-BDC8-1C0FB9F04370}"/>
  <tableColumns count="13">
    <tableColumn id="1" xr3:uid="{77109C5A-2430-4844-964B-2AECB654B509}" name="Data" dataDxfId="239"/>
    <tableColumn id="2" xr3:uid="{3AFEEC42-40EC-4B61-AFF7-1CE285D94B86}" name="Cliente" dataDxfId="238"/>
    <tableColumn id="3" xr3:uid="{DFB50D3C-624F-4677-B07E-4EE4A164568B}" name="NIF" dataDxfId="237"/>
    <tableColumn id="13" xr3:uid="{861AB0EF-2EE6-4547-A43C-FF07A135EBE5}" name="Tipologia" dataDxfId="236"/>
    <tableColumn id="4" xr3:uid="{D767F692-7545-411F-8912-46A1932135B1}" name="Descrição" dataDxfId="235"/>
    <tableColumn id="5" xr3:uid="{77E46016-D845-4F5E-BF91-76844B2833F4}" name="Nº Fatura" dataDxfId="234"/>
    <tableColumn id="6" xr3:uid="{6645818B-6807-4413-A902-B283F9211BF1}" name="Prestação" dataDxfId="233"/>
    <tableColumn id="7" xr3:uid="{1081F1AD-6FA3-44AD-ACBA-0FC55B5F4B7E}" name="Base" dataDxfId="232"/>
    <tableColumn id="8" xr3:uid="{DF46572E-8ECB-4060-9F4D-3DF1C6510D1B}" name="IVA " dataDxfId="231">
      <calculatedColumnFormula>Fat_Nov[[#This Row],[Base]]*0.23</calculatedColumnFormula>
    </tableColumn>
    <tableColumn id="9" xr3:uid="{1B7E5FD0-173E-4E64-B72E-9B22614DACB7}" name="Retenção" dataDxfId="230">
      <calculatedColumnFormula>Fat_Nov[[#This Row],[Base]]*0.23</calculatedColumnFormula>
    </tableColumn>
    <tableColumn id="10" xr3:uid="{8D21671F-B54D-4AC0-A12B-C9DFC3FE9635}" name="Total" dataDxfId="229">
      <calculatedColumnFormula>+I16+J16-K16</calculatedColumnFormula>
    </tableColumn>
    <tableColumn id="11" xr3:uid="{9682EBEC-0CE1-42F3-8144-4634FBEE86A1}" name="Estado" dataDxfId="228"/>
    <tableColumn id="12" xr3:uid="{84BE6D0D-C1A9-416B-8141-7E2EC3E2D19B}" name="Método Recebimento" dataDxfId="227"/>
  </tableColumns>
  <tableStyleInfo name="TableStyleLight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093558F-3956-4209-80BE-9412CDEFD52E}" name="Desp_Nov" displayName="Desp_Nov" ref="P15:Y22" totalsRowShown="0" headerRowDxfId="226" dataDxfId="224" headerRowBorderDxfId="225" tableBorderDxfId="223">
  <autoFilter ref="P15:Y22" xr:uid="{271DD0FC-9AE8-4AD5-8C0E-89727377326F}"/>
  <tableColumns count="10">
    <tableColumn id="1" xr3:uid="{858B681E-0469-4D13-8F3A-36FAF32E7A7A}" name="Data" dataDxfId="222"/>
    <tableColumn id="2" xr3:uid="{94545923-8FA6-4EB7-841F-CC382F20C5C7}" name="Fornecedor" dataDxfId="221"/>
    <tableColumn id="3" xr3:uid="{737C41DB-C6B8-4E67-9E8B-A7E91DA974D3}" name="NIF" dataDxfId="220"/>
    <tableColumn id="4" xr3:uid="{F12C34C9-D2CE-484C-94D6-35080542E150}" name="Nº Fatura" dataDxfId="219"/>
    <tableColumn id="5" xr3:uid="{2367E518-32F8-4C77-948B-EE5D01770198}" name="Tipo" dataDxfId="218"/>
    <tableColumn id="6" xr3:uid="{C65B743D-A13A-4BD2-8BCE-0B9D51298027}" name="Base" dataDxfId="217"/>
    <tableColumn id="7" xr3:uid="{3FE3A264-F55D-4F02-BCB1-F4948A02FF1D}" name="IVA " dataDxfId="216">
      <calculatedColumnFormula>+Desp_Nov[[#This Row],[Base]]*0.23</calculatedColumnFormula>
    </tableColumn>
    <tableColumn id="8" xr3:uid="{F71F5840-8351-4611-A469-97CAEED38B63}" name="Total" dataDxfId="215">
      <calculatedColumnFormula>+Desp_Nov[[#This Row],[Base]]+Desp_Nov[[#This Row],[IVA ]]</calculatedColumnFormula>
    </tableColumn>
    <tableColumn id="10" xr3:uid="{B8019DE0-D636-4558-90E8-88D01E9E11ED}" name="Estado" dataDxfId="214"/>
    <tableColumn id="9" xr3:uid="{76B7F510-CB4E-4E10-86F9-67BDF92B5F03}" name="Método Pagamento" dataDxfId="213"/>
  </tableColumns>
  <tableStyleInfo name="TableStyleLight1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8EDD7F7-0D0D-4538-A2E5-1D2711C5136C}" name="Fat_Dez" displayName="Fat_Dez" ref="B15:O74" totalsRowShown="0" headerRowDxfId="212" dataDxfId="210" headerRowBorderDxfId="211" tableBorderDxfId="209">
  <autoFilter ref="B15:O74" xr:uid="{6D4B4988-66D2-4FAF-BDC8-1C0FB9F04370}"/>
  <tableColumns count="14">
    <tableColumn id="1" xr3:uid="{4C8A8C6F-F4F3-4EFB-B230-D40210DFA756}" name="Data" dataDxfId="208"/>
    <tableColumn id="2" xr3:uid="{CB168611-F812-4594-935C-005C00A69F1A}" name="Cliente" dataDxfId="207"/>
    <tableColumn id="3" xr3:uid="{4A5E37FA-A4A1-4073-8619-7E9D4479FC14}" name="NIF" dataDxfId="206"/>
    <tableColumn id="13" xr3:uid="{F4A52CC0-84DD-4185-90CE-9AF60FCB5E18}" name="Tipologia" dataDxfId="205"/>
    <tableColumn id="4" xr3:uid="{E0EE4B98-D1C8-4B11-A76C-178AD1EC0219}" name="Descrição" dataDxfId="204"/>
    <tableColumn id="5" xr3:uid="{A520AA4B-B9C6-41DD-B256-235EA5533AD7}" name="Nº Fatura" dataDxfId="203"/>
    <tableColumn id="6" xr3:uid="{21A2405A-BECB-4CDC-AF45-5052DFA7D03A}" name="Prestação" dataDxfId="202"/>
    <tableColumn id="7" xr3:uid="{5E1F2961-E10A-44C2-B17E-2F7FE5506DA9}" name="Base" dataDxfId="201"/>
    <tableColumn id="8" xr3:uid="{530B6805-8A51-4E1C-9F4B-C88D4A0077DD}" name="IVA " dataDxfId="200">
      <calculatedColumnFormula>Fat_Dez[[#This Row],[Base]]*0.23</calculatedColumnFormula>
    </tableColumn>
    <tableColumn id="9" xr3:uid="{354814D9-6246-45B7-9CDB-51DFD58C3CBF}" name="Retenção" dataDxfId="199">
      <calculatedColumnFormula>Fat_Dez[[#This Row],[Base]]*0.23</calculatedColumnFormula>
    </tableColumn>
    <tableColumn id="10" xr3:uid="{C9AD7383-734D-4588-961F-099F71994C23}" name="Total" dataDxfId="198">
      <calculatedColumnFormula>+I16+J16-K16</calculatedColumnFormula>
    </tableColumn>
    <tableColumn id="11" xr3:uid="{0C66B574-75B9-410C-9D92-30662A5548D9}" name="Estado" dataDxfId="197"/>
    <tableColumn id="12" xr3:uid="{FC6B6F8D-4E40-49E2-ADBD-E7C714C9CA36}" name="Método Recebimento" dataDxfId="196"/>
    <tableColumn id="14" xr3:uid="{03ABD800-2ABB-477C-BB10-D7C215C5C0B7}" name="Coluna1" dataDxfId="195"/>
  </tableColumns>
  <tableStyleInfo name="TableStyleLight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FBA20E0-B42D-4170-9919-2F2170551985}" name="Desp_Dez" displayName="Desp_Dez" ref="P15:Y22" totalsRowShown="0" headerRowDxfId="194" dataDxfId="192" headerRowBorderDxfId="193" tableBorderDxfId="191">
  <autoFilter ref="P15:Y22" xr:uid="{271DD0FC-9AE8-4AD5-8C0E-89727377326F}"/>
  <tableColumns count="10">
    <tableColumn id="1" xr3:uid="{4B1EB463-981E-4E8C-A9FC-CA77D1DB0BDF}" name="Data" dataDxfId="190"/>
    <tableColumn id="2" xr3:uid="{64F3B48B-29D6-412E-931B-24074976FEAC}" name="Fornecedor" dataDxfId="189"/>
    <tableColumn id="3" xr3:uid="{0DF48820-57F6-4988-8025-218B3924D875}" name="NIF" dataDxfId="188"/>
    <tableColumn id="4" xr3:uid="{EEA3FB18-90F3-42C6-B446-8E0FD1AADB29}" name="Nº Fatura" dataDxfId="187"/>
    <tableColumn id="5" xr3:uid="{BEA91F2F-8CBC-4B1C-B293-B04DFB92F2D7}" name="Tipo" dataDxfId="186"/>
    <tableColumn id="6" xr3:uid="{F776E811-76E8-40B6-99CE-E2BC5CA43340}" name="Base" dataDxfId="185"/>
    <tableColumn id="7" xr3:uid="{22224FB2-6E35-4E56-8433-6AAFD7B2D7FB}" name="IVA " dataDxfId="184">
      <calculatedColumnFormula>+Desp_Dez[[#This Row],[Base]]*0.23</calculatedColumnFormula>
    </tableColumn>
    <tableColumn id="8" xr3:uid="{241FC188-C778-4DAD-8BFB-D72981BC6448}" name="Total" dataDxfId="183">
      <calculatedColumnFormula>+Desp_Dez[[#This Row],[Base]]+Desp_Dez[[#This Row],[IVA ]]</calculatedColumnFormula>
    </tableColumn>
    <tableColumn id="10" xr3:uid="{EE8CC048-98E9-494F-B1A0-AA30602B5718}" name="Estado" dataDxfId="182"/>
    <tableColumn id="9" xr3:uid="{5E502899-C9E2-4452-B0E6-B1AE6DB6F64F}" name="Método Pagamento" dataDxfId="18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Laranja-amarelado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hyperlink" Target="mailto:Barbara121994@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F441-D56C-4056-A9B8-418F050F35E5}">
  <sheetPr codeName="Folha2"/>
  <dimension ref="A14:T33"/>
  <sheetViews>
    <sheetView showGridLines="0" zoomScale="60" zoomScaleNormal="60" workbookViewId="0">
      <selection activeCell="U2" sqref="U2"/>
    </sheetView>
  </sheetViews>
  <sheetFormatPr defaultColWidth="8.88671875" defaultRowHeight="14.4"/>
  <cols>
    <col min="1" max="1" width="12" customWidth="1"/>
    <col min="2" max="13" width="10" customWidth="1"/>
    <col min="20" max="20" width="6" customWidth="1"/>
  </cols>
  <sheetData>
    <row r="14" ht="24.9" customHeight="1"/>
    <row r="15" ht="24.9" customHeight="1"/>
    <row r="16" ht="24.9" customHeight="1"/>
    <row r="17" spans="1:20" ht="24.9" customHeight="1"/>
    <row r="18" spans="1:20" ht="24.9" customHeight="1"/>
    <row r="19" spans="1:20" ht="24.9" customHeight="1"/>
    <row r="20" spans="1:20" ht="24.9" customHeight="1"/>
    <row r="21" spans="1:20" ht="24.9" customHeight="1"/>
    <row r="22" spans="1:20" ht="24.9" customHeight="1"/>
    <row r="23" spans="1:20" ht="24.9" customHeight="1"/>
    <row r="24" spans="1:20" ht="24.9" customHeight="1"/>
    <row r="25" spans="1:20" ht="24.9" customHeight="1"/>
    <row r="26" spans="1:20" ht="24.9" customHeight="1"/>
    <row r="27" spans="1:20" ht="24.9" customHeight="1"/>
    <row r="32" spans="1:20">
      <c r="A32" s="221" t="s">
        <v>0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</row>
    <row r="33" spans="1:20">
      <c r="A33" s="221" t="s">
        <v>1</v>
      </c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</row>
  </sheetData>
  <sheetProtection algorithmName="SHA-512" hashValue="9QjP9uW84/5d07W05y4Oh9x+O1MGJTSbQEEnoKtKTm/dy9aItVQOjkhTXwPH6rZME9p9GW3c01D0Wlgt6HoVfQ==" saltValue="sEgnQE1ihBnNo8o8pvj6+w==" spinCount="100000" sheet="1" objects="1" scenarios="1"/>
  <mergeCells count="2">
    <mergeCell ref="A32:T32"/>
    <mergeCell ref="A33:T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805F-5EE5-49CD-8E26-3FC8E5992877}">
  <sheetPr codeName="Folha1"/>
  <dimension ref="A1:L14"/>
  <sheetViews>
    <sheetView showGridLines="0" zoomScale="68" zoomScaleNormal="68" workbookViewId="0">
      <selection activeCell="E16" sqref="E16"/>
    </sheetView>
  </sheetViews>
  <sheetFormatPr defaultColWidth="8.88671875" defaultRowHeight="14.4"/>
  <cols>
    <col min="1" max="1" width="14.44140625" customWidth="1"/>
    <col min="2" max="2" width="29.88671875" customWidth="1"/>
    <col min="3" max="3" width="28" customWidth="1"/>
    <col min="6" max="6" width="20.6640625" customWidth="1"/>
    <col min="7" max="7" width="10.44140625" customWidth="1"/>
    <col min="8" max="8" width="20.6640625" customWidth="1"/>
    <col min="12" max="12" width="0" hidden="1" customWidth="1"/>
  </cols>
  <sheetData>
    <row r="1" spans="1:12" ht="77.400000000000006" customHeight="1">
      <c r="A1" s="222" t="s">
        <v>2</v>
      </c>
      <c r="B1" s="222"/>
      <c r="C1" s="222"/>
      <c r="D1" s="222"/>
      <c r="E1" s="222"/>
      <c r="F1" s="222"/>
      <c r="G1" s="222"/>
      <c r="H1" s="222"/>
      <c r="I1" s="222"/>
      <c r="J1" s="177" t="s">
        <v>3</v>
      </c>
      <c r="L1" s="203" t="s">
        <v>4</v>
      </c>
    </row>
    <row r="2" spans="1:12">
      <c r="L2" s="203" t="s">
        <v>5</v>
      </c>
    </row>
    <row r="3" spans="1:12">
      <c r="L3" s="203" t="s">
        <v>6</v>
      </c>
    </row>
    <row r="4" spans="1:12" ht="18.899999999999999" customHeight="1">
      <c r="B4" s="157" t="s">
        <v>7</v>
      </c>
      <c r="C4" s="208" t="s">
        <v>196</v>
      </c>
      <c r="F4" s="138" t="s">
        <v>8</v>
      </c>
      <c r="H4" s="138" t="s">
        <v>9</v>
      </c>
      <c r="L4" s="203" t="s">
        <v>10</v>
      </c>
    </row>
    <row r="5" spans="1:12" ht="18.899999999999999" customHeight="1">
      <c r="B5" s="158" t="s">
        <v>11</v>
      </c>
      <c r="C5" s="159">
        <v>217663923</v>
      </c>
      <c r="F5" s="211" t="s">
        <v>199</v>
      </c>
      <c r="H5" s="138" t="s">
        <v>13</v>
      </c>
    </row>
    <row r="6" spans="1:12" ht="18.899999999999999" customHeight="1">
      <c r="B6" s="158" t="s">
        <v>14</v>
      </c>
      <c r="C6" s="159">
        <v>12036056034</v>
      </c>
      <c r="F6" s="211" t="s">
        <v>200</v>
      </c>
      <c r="H6" s="138" t="s">
        <v>15</v>
      </c>
    </row>
    <row r="7" spans="1:12" ht="18.899999999999999" customHeight="1">
      <c r="B7" s="158" t="s">
        <v>16</v>
      </c>
      <c r="C7" s="209" t="s">
        <v>198</v>
      </c>
      <c r="F7" s="211" t="s">
        <v>201</v>
      </c>
      <c r="H7" s="211" t="s">
        <v>214</v>
      </c>
    </row>
    <row r="8" spans="1:12" ht="18.899999999999999" customHeight="1">
      <c r="B8" s="158" t="s">
        <v>17</v>
      </c>
      <c r="C8" s="210" t="s">
        <v>197</v>
      </c>
      <c r="F8" s="30"/>
      <c r="H8" s="138" t="s">
        <v>18</v>
      </c>
    </row>
    <row r="9" spans="1:12" ht="18.899999999999999" customHeight="1">
      <c r="B9" s="158" t="s">
        <v>19</v>
      </c>
      <c r="C9" s="159">
        <v>86906</v>
      </c>
      <c r="H9" s="138" t="s">
        <v>20</v>
      </c>
    </row>
    <row r="10" spans="1:12" ht="18.899999999999999" customHeight="1">
      <c r="B10" s="158" t="s">
        <v>21</v>
      </c>
      <c r="C10" s="160">
        <v>45572</v>
      </c>
      <c r="F10" s="138" t="s">
        <v>22</v>
      </c>
      <c r="H10" s="214" t="s">
        <v>302</v>
      </c>
    </row>
    <row r="11" spans="1:12" ht="18.899999999999999" customHeight="1">
      <c r="B11" s="158" t="s">
        <v>23</v>
      </c>
      <c r="C11" s="159" t="s">
        <v>24</v>
      </c>
      <c r="D11" s="176"/>
      <c r="F11" s="138"/>
    </row>
    <row r="12" spans="1:12" ht="18.899999999999999" customHeight="1">
      <c r="B12" s="158" t="s">
        <v>25</v>
      </c>
      <c r="C12" s="161" t="s">
        <v>26</v>
      </c>
      <c r="D12" s="176"/>
      <c r="F12" s="138"/>
    </row>
    <row r="13" spans="1:12" ht="18.899999999999999" customHeight="1">
      <c r="B13" s="162" t="s">
        <v>27</v>
      </c>
      <c r="C13" s="163" t="s">
        <v>34</v>
      </c>
      <c r="D13" s="176"/>
      <c r="F13" s="29"/>
    </row>
    <row r="14" spans="1:12" ht="18.899999999999999" customHeight="1"/>
  </sheetData>
  <mergeCells count="1">
    <mergeCell ref="A1:I1"/>
  </mergeCells>
  <hyperlinks>
    <hyperlink ref="C8" r:id="rId1" xr:uid="{1F726241-432D-4502-AA00-CAB23F2A692C}"/>
  </hyperlinks>
  <pageMargins left="0.7" right="0.7" top="0.75" bottom="0.75" header="0.3" footer="0.3"/>
  <drawing r:id="rId2"/>
  <tableParts count="4">
    <tablePart r:id="rId3"/>
    <tablePart r:id="rId4"/>
    <tablePart r:id="rId5"/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ADD50E9-FE1F-43F0-A22E-61D94CE925F7}">
          <x14:formula1>
            <xm:f>Auxiliar1!$H$5:$H$7</xm:f>
          </x14:formula1>
          <xm:sqref>C11</xm:sqref>
        </x14:dataValidation>
        <x14:dataValidation type="list" allowBlank="1" showInputMessage="1" showErrorMessage="1" xr:uid="{E378267D-56E1-4880-A2AD-35BCDCF9D0BC}">
          <x14:formula1>
            <xm:f>Auxiliar1!$J$5:$J$8</xm:f>
          </x14:formula1>
          <xm:sqref>C12</xm:sqref>
        </x14:dataValidation>
        <x14:dataValidation type="list" allowBlank="1" showInputMessage="1" showErrorMessage="1" xr:uid="{81DA4225-0F81-474F-A2FB-8E68AC5786C6}">
          <x14:formula1>
            <xm:f>Auxiliar1!$L$5:$L$7</xm:f>
          </x14:formula1>
          <xm:sqref>C13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B707-FEF0-4D98-AF4B-C999DE2230C3}">
  <sheetPr codeName="Folha4"/>
  <dimension ref="A1:O54"/>
  <sheetViews>
    <sheetView showGridLines="0" zoomScale="120" zoomScaleNormal="120" workbookViewId="0">
      <selection activeCell="K18" sqref="K18"/>
    </sheetView>
  </sheetViews>
  <sheetFormatPr defaultColWidth="8.88671875" defaultRowHeight="14.4"/>
  <cols>
    <col min="1" max="1" width="14.44140625" customWidth="1"/>
    <col min="2" max="2" width="29.44140625" customWidth="1"/>
    <col min="3" max="4" width="21.109375" style="30" customWidth="1"/>
    <col min="5" max="6" width="21.109375" customWidth="1"/>
    <col min="7" max="7" width="9.109375" customWidth="1"/>
    <col min="8" max="8" width="21.88671875" style="30" customWidth="1"/>
    <col min="10" max="10" width="15.44140625" style="30" customWidth="1"/>
    <col min="12" max="12" width="15.44140625" style="30" customWidth="1"/>
  </cols>
  <sheetData>
    <row r="1" spans="1:15" ht="77.400000000000006" customHeight="1">
      <c r="A1" s="230" t="s">
        <v>29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</row>
    <row r="4" spans="1:15" ht="30" customHeight="1">
      <c r="C4" s="37" t="s">
        <v>30</v>
      </c>
      <c r="H4" s="64" t="s">
        <v>23</v>
      </c>
      <c r="J4" s="64" t="s">
        <v>25</v>
      </c>
      <c r="L4" s="64" t="s">
        <v>27</v>
      </c>
    </row>
    <row r="5" spans="1:15">
      <c r="B5" s="38" t="s">
        <v>31</v>
      </c>
      <c r="C5" s="40">
        <v>45412</v>
      </c>
      <c r="E5" s="176"/>
      <c r="H5" s="138" t="s">
        <v>32</v>
      </c>
      <c r="J5" s="30" t="s">
        <v>33</v>
      </c>
      <c r="L5" s="30" t="s">
        <v>34</v>
      </c>
    </row>
    <row r="6" spans="1:15">
      <c r="B6" s="38" t="s">
        <v>35</v>
      </c>
      <c r="C6" s="40">
        <v>45504</v>
      </c>
      <c r="H6" s="138" t="s">
        <v>36</v>
      </c>
      <c r="J6" s="30" t="s">
        <v>37</v>
      </c>
      <c r="L6" s="30" t="s">
        <v>28</v>
      </c>
    </row>
    <row r="7" spans="1:15">
      <c r="B7" s="38" t="s">
        <v>38</v>
      </c>
      <c r="C7" s="40">
        <v>45596</v>
      </c>
      <c r="J7" s="138" t="s">
        <v>26</v>
      </c>
      <c r="L7" s="30" t="s">
        <v>39</v>
      </c>
    </row>
    <row r="8" spans="1:15">
      <c r="B8" s="38" t="s">
        <v>40</v>
      </c>
      <c r="C8" s="40">
        <v>45688</v>
      </c>
      <c r="J8" s="138" t="s">
        <v>41</v>
      </c>
    </row>
    <row r="9" spans="1:15">
      <c r="C9"/>
    </row>
    <row r="11" spans="1:15">
      <c r="B11" s="176"/>
      <c r="C11" s="37">
        <v>1</v>
      </c>
      <c r="D11" s="37">
        <v>2</v>
      </c>
      <c r="E11" s="37">
        <v>3</v>
      </c>
      <c r="F11" s="37">
        <v>4</v>
      </c>
      <c r="G11" s="37">
        <v>5</v>
      </c>
      <c r="H11" s="37">
        <v>6</v>
      </c>
      <c r="I11" s="37">
        <v>7</v>
      </c>
      <c r="J11" s="37">
        <v>8</v>
      </c>
      <c r="K11" s="37">
        <v>9</v>
      </c>
      <c r="L11" s="37">
        <v>10</v>
      </c>
      <c r="M11" s="37">
        <v>11</v>
      </c>
      <c r="N11" s="37">
        <v>12</v>
      </c>
    </row>
    <row r="12" spans="1:15">
      <c r="B12" s="38" t="s">
        <v>42</v>
      </c>
      <c r="C12" s="40">
        <v>45662</v>
      </c>
      <c r="D12" s="40">
        <v>45693</v>
      </c>
      <c r="E12" s="40">
        <v>45721</v>
      </c>
      <c r="F12" s="40">
        <v>45752</v>
      </c>
      <c r="G12" s="40">
        <v>45782</v>
      </c>
      <c r="H12" s="40">
        <v>45813</v>
      </c>
      <c r="I12" s="40">
        <v>45843</v>
      </c>
      <c r="J12" s="40">
        <v>45874</v>
      </c>
      <c r="K12" s="40">
        <v>45905</v>
      </c>
      <c r="L12" s="40">
        <v>45935</v>
      </c>
      <c r="M12" s="40">
        <v>45966</v>
      </c>
      <c r="N12" s="40">
        <v>45996</v>
      </c>
    </row>
    <row r="13" spans="1:15">
      <c r="B13" s="38" t="s">
        <v>43</v>
      </c>
      <c r="C13" s="40">
        <v>45677</v>
      </c>
      <c r="D13" s="40">
        <v>45708</v>
      </c>
      <c r="E13" s="40">
        <v>45736</v>
      </c>
      <c r="F13" s="40">
        <v>45767</v>
      </c>
      <c r="G13" s="40">
        <v>45797</v>
      </c>
      <c r="H13" s="40">
        <v>45828</v>
      </c>
      <c r="I13" s="40">
        <v>45858</v>
      </c>
      <c r="J13" s="40">
        <v>45889</v>
      </c>
      <c r="K13" s="40">
        <v>45920</v>
      </c>
      <c r="L13" s="40">
        <v>45950</v>
      </c>
      <c r="M13" s="40">
        <v>45981</v>
      </c>
      <c r="N13" s="40">
        <v>46011</v>
      </c>
    </row>
    <row r="14" spans="1:15">
      <c r="B14" s="38" t="s">
        <v>44</v>
      </c>
      <c r="C14" s="40">
        <v>45858</v>
      </c>
      <c r="D14" s="40">
        <v>45950</v>
      </c>
      <c r="E14" s="40">
        <v>45677</v>
      </c>
      <c r="F14" s="40">
        <v>45767</v>
      </c>
    </row>
    <row r="15" spans="1:15">
      <c r="B15" s="176"/>
      <c r="C15" s="34"/>
    </row>
    <row r="16" spans="1:15">
      <c r="C16" s="37" t="s">
        <v>8</v>
      </c>
      <c r="D16" s="37" t="s">
        <v>22</v>
      </c>
      <c r="F16" s="63"/>
      <c r="H16" s="34"/>
      <c r="I16" s="34"/>
    </row>
    <row r="17" spans="1:11">
      <c r="B17" s="38" t="s">
        <v>45</v>
      </c>
      <c r="C17" s="35">
        <v>0.7</v>
      </c>
      <c r="D17" s="35">
        <v>0.2</v>
      </c>
      <c r="I17" s="176" t="s">
        <v>46</v>
      </c>
      <c r="J17" s="138" t="s">
        <v>47</v>
      </c>
      <c r="K17" s="176" t="s">
        <v>48</v>
      </c>
    </row>
    <row r="18" spans="1:11">
      <c r="B18" s="38" t="s">
        <v>49</v>
      </c>
      <c r="C18" s="36">
        <v>0.214</v>
      </c>
      <c r="D18" s="36">
        <v>0.252</v>
      </c>
      <c r="H18" s="30">
        <v>1</v>
      </c>
      <c r="I18" s="178">
        <v>45662</v>
      </c>
      <c r="J18" s="178">
        <v>45677</v>
      </c>
      <c r="K18" s="179">
        <v>45688</v>
      </c>
    </row>
    <row r="19" spans="1:11">
      <c r="H19" s="30">
        <v>2</v>
      </c>
      <c r="I19" s="63">
        <v>45693</v>
      </c>
      <c r="J19" s="178">
        <v>45708</v>
      </c>
    </row>
    <row r="20" spans="1:11">
      <c r="B20" s="38" t="s">
        <v>50</v>
      </c>
      <c r="C20" s="39">
        <v>20</v>
      </c>
      <c r="H20" s="30">
        <v>3</v>
      </c>
      <c r="I20" s="178">
        <v>45721</v>
      </c>
      <c r="J20" s="178">
        <v>45736</v>
      </c>
    </row>
    <row r="21" spans="1:11">
      <c r="H21" s="30">
        <v>4</v>
      </c>
      <c r="I21" s="63">
        <v>45752</v>
      </c>
      <c r="J21" s="178">
        <v>45767</v>
      </c>
      <c r="K21" s="179">
        <v>45777</v>
      </c>
    </row>
    <row r="22" spans="1:11">
      <c r="B22" s="41" t="s">
        <v>51</v>
      </c>
      <c r="C22" s="37" t="s">
        <v>52</v>
      </c>
      <c r="D22" s="37" t="s">
        <v>53</v>
      </c>
      <c r="H22" s="30">
        <v>5</v>
      </c>
      <c r="I22" s="178">
        <v>45782</v>
      </c>
      <c r="J22" s="178">
        <v>45797</v>
      </c>
    </row>
    <row r="23" spans="1:11">
      <c r="B23" s="38" t="s">
        <v>54</v>
      </c>
      <c r="C23" s="40">
        <v>45797</v>
      </c>
      <c r="D23" s="40">
        <v>45802</v>
      </c>
      <c r="H23" s="30">
        <v>6</v>
      </c>
      <c r="I23" s="63">
        <v>45813</v>
      </c>
      <c r="J23" s="178">
        <v>45828</v>
      </c>
    </row>
    <row r="24" spans="1:11">
      <c r="B24" s="38" t="s">
        <v>55</v>
      </c>
      <c r="C24" s="40">
        <v>45889</v>
      </c>
      <c r="D24" s="40">
        <v>45894</v>
      </c>
      <c r="H24" s="30">
        <v>7</v>
      </c>
      <c r="I24" s="178">
        <v>45843</v>
      </c>
      <c r="J24" s="178">
        <v>45858</v>
      </c>
      <c r="K24" s="179">
        <v>45869</v>
      </c>
    </row>
    <row r="25" spans="1:11">
      <c r="B25" s="38" t="s">
        <v>56</v>
      </c>
      <c r="C25" s="40">
        <v>45981</v>
      </c>
      <c r="D25" s="40">
        <v>45986</v>
      </c>
      <c r="H25" s="30">
        <v>8</v>
      </c>
      <c r="I25" s="63">
        <v>45874</v>
      </c>
      <c r="J25" s="178">
        <v>45889</v>
      </c>
    </row>
    <row r="26" spans="1:11">
      <c r="B26" s="38" t="s">
        <v>57</v>
      </c>
      <c r="C26" s="40">
        <v>45708</v>
      </c>
      <c r="D26" s="40">
        <v>45713</v>
      </c>
      <c r="H26" s="30">
        <v>9</v>
      </c>
      <c r="I26" s="178">
        <v>45905</v>
      </c>
      <c r="J26" s="178">
        <v>45920</v>
      </c>
    </row>
    <row r="27" spans="1:11">
      <c r="H27" s="30">
        <v>10</v>
      </c>
      <c r="I27" s="63">
        <v>45935</v>
      </c>
      <c r="J27" s="178">
        <v>45950</v>
      </c>
      <c r="K27" s="179">
        <v>45961</v>
      </c>
    </row>
    <row r="28" spans="1:11">
      <c r="B28" s="229" t="s">
        <v>58</v>
      </c>
      <c r="C28" s="229"/>
      <c r="D28" s="39">
        <v>4462.1499999999996</v>
      </c>
      <c r="H28" s="30">
        <v>11</v>
      </c>
      <c r="I28" s="178">
        <v>45966</v>
      </c>
      <c r="J28" s="178">
        <v>45981</v>
      </c>
    </row>
    <row r="29" spans="1:11">
      <c r="H29" s="30">
        <v>12</v>
      </c>
      <c r="I29" s="63">
        <v>45996</v>
      </c>
      <c r="J29" s="178">
        <v>46011</v>
      </c>
    </row>
    <row r="30" spans="1:11">
      <c r="B30" s="223" t="s">
        <v>59</v>
      </c>
      <c r="C30" s="224"/>
      <c r="D30" s="225" t="s">
        <v>60</v>
      </c>
      <c r="E30" s="227" t="s">
        <v>61</v>
      </c>
    </row>
    <row r="31" spans="1:11">
      <c r="A31">
        <v>2024</v>
      </c>
      <c r="B31" s="23" t="s">
        <v>62</v>
      </c>
      <c r="C31" s="23" t="s">
        <v>63</v>
      </c>
      <c r="D31" s="226"/>
      <c r="E31" s="228"/>
    </row>
    <row r="32" spans="1:11">
      <c r="B32" s="111" t="s">
        <v>64</v>
      </c>
      <c r="C32" s="112">
        <v>7703</v>
      </c>
      <c r="D32" s="113">
        <v>0.13</v>
      </c>
      <c r="E32" s="111" t="s">
        <v>64</v>
      </c>
    </row>
    <row r="33" spans="1:9">
      <c r="B33" s="114">
        <f>+C32</f>
        <v>7703</v>
      </c>
      <c r="C33" s="112">
        <v>11623</v>
      </c>
      <c r="D33" s="113">
        <v>0.16500000000000001</v>
      </c>
      <c r="E33" s="114">
        <v>269.61</v>
      </c>
    </row>
    <row r="34" spans="1:9">
      <c r="B34" s="114">
        <f t="shared" ref="B34:B40" si="0">+C33</f>
        <v>11623</v>
      </c>
      <c r="C34" s="112">
        <v>16472</v>
      </c>
      <c r="D34" s="113">
        <v>0.22</v>
      </c>
      <c r="E34" s="114">
        <v>908.92</v>
      </c>
    </row>
    <row r="35" spans="1:9">
      <c r="B35" s="114">
        <f t="shared" si="0"/>
        <v>16472</v>
      </c>
      <c r="C35" s="112">
        <v>21321</v>
      </c>
      <c r="D35" s="113">
        <v>0.25</v>
      </c>
      <c r="E35" s="114">
        <v>1403.08</v>
      </c>
    </row>
    <row r="36" spans="1:9">
      <c r="B36" s="114">
        <f t="shared" si="0"/>
        <v>21321</v>
      </c>
      <c r="C36" s="112">
        <v>27146</v>
      </c>
      <c r="D36" s="113">
        <v>0.32</v>
      </c>
      <c r="E36" s="114">
        <v>2898.61</v>
      </c>
    </row>
    <row r="37" spans="1:9">
      <c r="B37" s="114">
        <f t="shared" si="0"/>
        <v>27146</v>
      </c>
      <c r="C37" s="112">
        <v>39791</v>
      </c>
      <c r="D37" s="113">
        <v>0.35499999999999998</v>
      </c>
      <c r="E37" s="114">
        <v>3845.5</v>
      </c>
    </row>
    <row r="38" spans="1:9">
      <c r="B38" s="114">
        <f t="shared" si="0"/>
        <v>39791</v>
      </c>
      <c r="C38" s="112">
        <v>43000</v>
      </c>
      <c r="D38" s="113">
        <v>0.435</v>
      </c>
      <c r="E38" s="114">
        <v>7029.08</v>
      </c>
    </row>
    <row r="39" spans="1:9">
      <c r="B39" s="114">
        <f t="shared" si="0"/>
        <v>43000</v>
      </c>
      <c r="C39" s="112">
        <v>80000</v>
      </c>
      <c r="D39" s="113">
        <v>0.45</v>
      </c>
      <c r="E39" s="114">
        <v>7673.78</v>
      </c>
      <c r="I39" s="176"/>
    </row>
    <row r="40" spans="1:9">
      <c r="B40" s="114">
        <f t="shared" si="0"/>
        <v>80000</v>
      </c>
      <c r="C40" s="112">
        <v>3000000</v>
      </c>
      <c r="D40" s="113">
        <v>0.48</v>
      </c>
      <c r="E40" s="114">
        <v>10073.6</v>
      </c>
    </row>
    <row r="43" spans="1:9">
      <c r="B43" s="229" t="s">
        <v>58</v>
      </c>
      <c r="C43" s="229"/>
      <c r="D43" s="39">
        <v>4462.1499999999996</v>
      </c>
    </row>
    <row r="44" spans="1:9">
      <c r="B44" s="223" t="s">
        <v>59</v>
      </c>
      <c r="C44" s="224"/>
      <c r="D44" s="225" t="s">
        <v>60</v>
      </c>
      <c r="E44" s="227" t="s">
        <v>61</v>
      </c>
    </row>
    <row r="45" spans="1:9">
      <c r="A45">
        <v>2025</v>
      </c>
      <c r="B45" s="23" t="s">
        <v>62</v>
      </c>
      <c r="C45" s="23" t="s">
        <v>63</v>
      </c>
      <c r="D45" s="226"/>
      <c r="E45" s="228"/>
    </row>
    <row r="46" spans="1:9">
      <c r="B46" s="111" t="s">
        <v>64</v>
      </c>
      <c r="C46" s="112">
        <v>8059</v>
      </c>
      <c r="D46" s="113">
        <v>0.13</v>
      </c>
      <c r="E46" s="111" t="s">
        <v>64</v>
      </c>
    </row>
    <row r="47" spans="1:9">
      <c r="B47" s="114">
        <v>8059</v>
      </c>
      <c r="C47" s="112">
        <v>12160</v>
      </c>
      <c r="D47" s="113">
        <v>0.16500000000000001</v>
      </c>
      <c r="E47" s="114">
        <v>282.07</v>
      </c>
    </row>
    <row r="48" spans="1:9">
      <c r="B48" s="114">
        <v>12160</v>
      </c>
      <c r="C48" s="112">
        <v>17233</v>
      </c>
      <c r="D48" s="113">
        <v>0.22</v>
      </c>
      <c r="E48" s="114">
        <v>950.91</v>
      </c>
    </row>
    <row r="49" spans="2:5">
      <c r="B49" s="114">
        <v>17233</v>
      </c>
      <c r="C49" s="112">
        <v>22306</v>
      </c>
      <c r="D49" s="113">
        <v>0.25</v>
      </c>
      <c r="E49" s="114">
        <v>1467.91</v>
      </c>
    </row>
    <row r="50" spans="2:5">
      <c r="B50" s="114">
        <v>22306</v>
      </c>
      <c r="C50" s="112">
        <v>28400</v>
      </c>
      <c r="D50" s="113">
        <v>0.32</v>
      </c>
      <c r="E50" s="114">
        <v>3029.38</v>
      </c>
    </row>
    <row r="51" spans="2:5">
      <c r="B51" s="114">
        <v>28400</v>
      </c>
      <c r="C51" s="112">
        <v>41629</v>
      </c>
      <c r="D51" s="113">
        <v>0.35499999999999998</v>
      </c>
      <c r="E51" s="114">
        <v>4023.14</v>
      </c>
    </row>
    <row r="52" spans="2:5">
      <c r="B52" s="114">
        <v>41629</v>
      </c>
      <c r="C52" s="112">
        <v>44987</v>
      </c>
      <c r="D52" s="113">
        <v>0.435</v>
      </c>
      <c r="E52" s="114">
        <v>7353.76</v>
      </c>
    </row>
    <row r="53" spans="2:5">
      <c r="B53" s="114">
        <v>44987</v>
      </c>
      <c r="C53" s="112">
        <v>83696</v>
      </c>
      <c r="D53" s="113">
        <v>0.45</v>
      </c>
      <c r="E53" s="114">
        <v>8028.38</v>
      </c>
    </row>
    <row r="54" spans="2:5">
      <c r="B54" s="114">
        <v>83696</v>
      </c>
      <c r="C54" s="112">
        <v>3000000</v>
      </c>
      <c r="D54" s="113">
        <v>0.48</v>
      </c>
      <c r="E54" s="114">
        <v>10539</v>
      </c>
    </row>
  </sheetData>
  <mergeCells count="9">
    <mergeCell ref="B44:C44"/>
    <mergeCell ref="D44:D45"/>
    <mergeCell ref="E44:E45"/>
    <mergeCell ref="B43:C43"/>
    <mergeCell ref="A1:O1"/>
    <mergeCell ref="B30:C30"/>
    <mergeCell ref="D30:D31"/>
    <mergeCell ref="E30:E31"/>
    <mergeCell ref="B28:C28"/>
  </mergeCells>
  <phoneticPr fontId="22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5"/>
  <dimension ref="A1:TX989"/>
  <sheetViews>
    <sheetView showGridLines="0" zoomScale="60" zoomScaleNormal="60" workbookViewId="0">
      <selection activeCell="F31" sqref="F31"/>
    </sheetView>
  </sheetViews>
  <sheetFormatPr defaultColWidth="14.44140625" defaultRowHeight="21.6" customHeight="1"/>
  <cols>
    <col min="1" max="1" width="4.109375" customWidth="1"/>
    <col min="2" max="2" width="17.109375" style="60" customWidth="1"/>
    <col min="3" max="3" width="14.88671875" style="30" bestFit="1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9" width="19.109375" style="32" customWidth="1"/>
    <col min="10" max="11" width="12.44140625" style="32" customWidth="1"/>
    <col min="12" max="12" width="19.109375" style="32" customWidth="1"/>
    <col min="13" max="13" width="17.441406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9.109375" style="30" customWidth="1"/>
    <col min="18" max="18" width="14.6640625" style="59" customWidth="1"/>
    <col min="19" max="19" width="15.44140625" style="30" customWidth="1"/>
    <col min="20" max="20" width="18.3320312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8"/>
    <col min="28" max="28" width="16.33203125" style="118" bestFit="1" customWidth="1"/>
    <col min="29" max="29" width="14.44140625" style="119"/>
    <col min="30" max="39" width="14.44140625" style="120"/>
  </cols>
  <sheetData>
    <row r="1" spans="1:544" ht="77.400000000000006" customHeight="1">
      <c r="A1" s="236" t="s">
        <v>65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TR1" s="239" t="s">
        <v>66</v>
      </c>
      <c r="TS1" s="239"/>
      <c r="TT1" s="239"/>
      <c r="TU1" s="239"/>
      <c r="TV1" s="239"/>
      <c r="TW1" s="239"/>
      <c r="TX1" s="239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AA2" s="115"/>
      <c r="AB2" s="115"/>
      <c r="AC2" s="116"/>
      <c r="AD2" s="117"/>
      <c r="AE2" s="117"/>
      <c r="AF2" s="117"/>
      <c r="AG2" s="117"/>
      <c r="AH2"/>
      <c r="AI2"/>
      <c r="AJ2"/>
      <c r="AK2"/>
      <c r="AL2"/>
      <c r="AM2"/>
      <c r="TR2" s="127"/>
      <c r="TS2" s="127"/>
      <c r="TT2" s="127"/>
      <c r="TU2" s="127"/>
      <c r="TV2" s="127"/>
      <c r="TW2" s="127"/>
      <c r="TX2" s="127"/>
    </row>
    <row r="3" spans="1:544" ht="36.9" customHeight="1">
      <c r="C3" s="233" t="s">
        <v>67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AA3" s="115"/>
      <c r="AB3" s="115"/>
      <c r="AC3" s="116"/>
      <c r="AD3" s="117"/>
      <c r="AE3" s="117"/>
      <c r="AF3" s="117"/>
      <c r="AG3" s="117"/>
      <c r="AH3"/>
      <c r="AI3"/>
      <c r="AJ3"/>
      <c r="AK3"/>
      <c r="AL3"/>
      <c r="AM3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AA4" s="115"/>
      <c r="AB4" s="115"/>
      <c r="AC4" s="116"/>
      <c r="AD4" s="117"/>
      <c r="AE4" s="117"/>
      <c r="AF4" s="117"/>
      <c r="AG4" s="117"/>
      <c r="AH4"/>
      <c r="AI4"/>
      <c r="AJ4"/>
      <c r="AK4"/>
      <c r="AL4"/>
      <c r="AM4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1586.5</v>
      </c>
      <c r="G5" s="235" t="s">
        <v>71</v>
      </c>
      <c r="H5" s="235"/>
      <c r="I5" s="166">
        <f ca="1">SUM(I6:I8)</f>
        <v>548.20000000000005</v>
      </c>
      <c r="J5" s="31"/>
      <c r="K5" s="31"/>
      <c r="L5" s="170" t="s">
        <v>72</v>
      </c>
      <c r="M5" s="171">
        <f>+L14</f>
        <v>1586.5</v>
      </c>
      <c r="N5" s="168" t="s">
        <v>73</v>
      </c>
      <c r="O5" s="231">
        <f ca="1">+SUMIF(M16:M2599,"Pago",L16:L2499)</f>
        <v>1586.5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AA5" s="115"/>
      <c r="AB5" s="115"/>
      <c r="AC5" s="116"/>
      <c r="AD5" s="117"/>
      <c r="AE5" s="117"/>
      <c r="AF5" s="117"/>
      <c r="AG5" s="117"/>
      <c r="AH5"/>
      <c r="AI5"/>
      <c r="AJ5"/>
      <c r="AK5"/>
      <c r="AL5"/>
      <c r="AM5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608</v>
      </c>
      <c r="F6" s="30"/>
      <c r="G6" s="234" t="s">
        <v>6</v>
      </c>
      <c r="H6" s="234"/>
      <c r="I6" s="167">
        <f ca="1">+SUMIF(T16:T199994,G6,U16:U4994)</f>
        <v>0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270.5</v>
      </c>
      <c r="F7" s="30"/>
      <c r="G7" s="234" t="s">
        <v>5</v>
      </c>
      <c r="H7" s="234"/>
      <c r="I7" s="167">
        <f ca="1">+SUMIF(T16:T199994,G7,U16:U4994)</f>
        <v>548.20000000000005</v>
      </c>
      <c r="J7" s="32"/>
      <c r="K7" s="32"/>
      <c r="L7" s="170" t="s">
        <v>4</v>
      </c>
      <c r="M7" s="171">
        <f>+W14</f>
        <v>551.65</v>
      </c>
      <c r="N7" s="168" t="s">
        <v>75</v>
      </c>
      <c r="O7" s="231">
        <f ca="1">+SUMIF(X16:X2599,"Pago",W16:W2499)</f>
        <v>551.65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708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1038.3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4"/>
      <c r="D11" s="29"/>
      <c r="E11" s="29"/>
      <c r="F11" s="29"/>
      <c r="G11" s="29"/>
      <c r="H11" s="32"/>
      <c r="I11" s="31"/>
      <c r="J11" s="31"/>
      <c r="K11" s="31"/>
      <c r="L11" s="29"/>
      <c r="M11" s="29"/>
      <c r="R11" s="29"/>
      <c r="S11" s="29"/>
      <c r="T11" s="29"/>
      <c r="U11" s="31"/>
      <c r="V11" s="31"/>
      <c r="W11" s="31"/>
      <c r="X11" s="31"/>
      <c r="Y11" s="29"/>
      <c r="AA11" s="115"/>
      <c r="AB11" s="115"/>
      <c r="AC11" s="116"/>
      <c r="AD11" s="117"/>
      <c r="AE11" s="117"/>
      <c r="AF11" s="117"/>
      <c r="AG11" s="117"/>
      <c r="AH11"/>
      <c r="AI11"/>
      <c r="AJ11"/>
      <c r="AK11"/>
      <c r="AL11"/>
      <c r="AM11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5"/>
      <c r="D12" s="29"/>
      <c r="E12" s="29"/>
      <c r="F12" s="29"/>
      <c r="G12" s="29"/>
      <c r="H12" s="32"/>
      <c r="I12" s="31"/>
      <c r="J12" s="31"/>
      <c r="K12" s="31"/>
      <c r="L12" s="29"/>
      <c r="M12" s="29"/>
      <c r="R12" s="29"/>
      <c r="S12" s="29"/>
      <c r="T12" s="29"/>
      <c r="U12" s="31"/>
      <c r="V12" s="31"/>
      <c r="W12" s="31"/>
      <c r="X12" s="31"/>
      <c r="Y12" s="29"/>
      <c r="AA12" s="115"/>
      <c r="AB12" s="115"/>
      <c r="AC12" s="116"/>
      <c r="AD12" s="117"/>
      <c r="AE12" s="117"/>
      <c r="AF12" s="117"/>
      <c r="AG12" s="117"/>
      <c r="AH12"/>
      <c r="AI12"/>
      <c r="AJ12"/>
      <c r="AK12"/>
      <c r="AL12"/>
      <c r="AM12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+SUM(Fat_Jan[Base])</f>
        <v>1586.5</v>
      </c>
      <c r="J14" s="52">
        <f>+SUM(Fat_Jan[[IVA ]])</f>
        <v>0</v>
      </c>
      <c r="K14" s="52">
        <f>+SUM(Fat_Jan[Retenção])</f>
        <v>0</v>
      </c>
      <c r="L14" s="52">
        <f>+SUM(Fat_Jan[Total])</f>
        <v>1586.5</v>
      </c>
      <c r="M14" s="240"/>
      <c r="N14" s="241"/>
      <c r="P14" s="47"/>
      <c r="Q14" s="48"/>
      <c r="R14" s="58" t="s">
        <v>79</v>
      </c>
      <c r="S14" s="50"/>
      <c r="T14" s="48"/>
      <c r="U14" s="52">
        <f>+SUM(Desp_Jan[Base])</f>
        <v>548.20000000000005</v>
      </c>
      <c r="V14" s="52">
        <f>SUM(Desp_Jan[[IVA ]])</f>
        <v>3.45</v>
      </c>
      <c r="W14" s="52">
        <f>SUM(Desp_Jan[Total])</f>
        <v>551.65</v>
      </c>
      <c r="X14" s="133"/>
      <c r="Y14" s="133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123">
        <v>45660</v>
      </c>
      <c r="C16" s="124" t="s">
        <v>202</v>
      </c>
      <c r="D16" s="125">
        <v>0</v>
      </c>
      <c r="E16" s="124" t="s">
        <v>8</v>
      </c>
      <c r="F16" s="124" t="s">
        <v>199</v>
      </c>
      <c r="G16" s="124"/>
      <c r="H16" s="124">
        <v>1</v>
      </c>
      <c r="I16" s="126">
        <v>65</v>
      </c>
      <c r="J16" s="32">
        <v>0</v>
      </c>
      <c r="K16" s="126">
        <v>0</v>
      </c>
      <c r="L16" s="32">
        <f>+I16+J16-K16</f>
        <v>65</v>
      </c>
      <c r="M16" s="124" t="s">
        <v>75</v>
      </c>
      <c r="N16" s="124" t="s">
        <v>18</v>
      </c>
      <c r="O16" s="29"/>
      <c r="P16" s="60">
        <v>45659</v>
      </c>
      <c r="Q16" s="211" t="s">
        <v>212</v>
      </c>
      <c r="R16" s="59">
        <v>0</v>
      </c>
      <c r="T16" s="30" t="s">
        <v>5</v>
      </c>
      <c r="U16" s="32">
        <v>280</v>
      </c>
      <c r="V16" s="32">
        <v>0</v>
      </c>
      <c r="W16" s="32">
        <v>280</v>
      </c>
      <c r="X16" s="32" t="s">
        <v>75</v>
      </c>
      <c r="Y16" s="138" t="s">
        <v>15</v>
      </c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123">
        <v>45660</v>
      </c>
      <c r="C17" s="124" t="s">
        <v>203</v>
      </c>
      <c r="D17" s="125">
        <v>0</v>
      </c>
      <c r="E17" s="124" t="s">
        <v>8</v>
      </c>
      <c r="F17" s="124" t="s">
        <v>199</v>
      </c>
      <c r="G17" s="124"/>
      <c r="H17" s="124">
        <v>1</v>
      </c>
      <c r="I17" s="126">
        <v>65</v>
      </c>
      <c r="J17" s="32">
        <v>0</v>
      </c>
      <c r="K17" s="126">
        <v>0</v>
      </c>
      <c r="L17" s="32">
        <f t="shared" ref="L17" si="0">+I17+J17-K17</f>
        <v>65</v>
      </c>
      <c r="M17" s="124" t="s">
        <v>75</v>
      </c>
      <c r="N17" s="124" t="s">
        <v>18</v>
      </c>
      <c r="O17" s="29"/>
      <c r="P17" s="60">
        <v>45664</v>
      </c>
      <c r="Q17" s="211" t="s">
        <v>213</v>
      </c>
      <c r="R17" s="59">
        <v>0</v>
      </c>
      <c r="T17" s="30" t="s">
        <v>5</v>
      </c>
      <c r="U17" s="32">
        <v>15</v>
      </c>
      <c r="V17" s="32">
        <f>+Desp_Jan[[#This Row],[Base]]*0.23</f>
        <v>3.45</v>
      </c>
      <c r="W17" s="32">
        <f>+Desp_Jan[[#This Row],[Base]]+Desp_Jan[[#This Row],[IVA ]]</f>
        <v>18.45</v>
      </c>
      <c r="X17" s="32" t="s">
        <v>75</v>
      </c>
      <c r="Y17" s="138" t="s">
        <v>214</v>
      </c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123">
        <v>45661</v>
      </c>
      <c r="C18" s="124" t="s">
        <v>204</v>
      </c>
      <c r="D18" s="125">
        <v>0</v>
      </c>
      <c r="E18" s="124" t="s">
        <v>8</v>
      </c>
      <c r="F18" s="124" t="s">
        <v>199</v>
      </c>
      <c r="G18" s="124"/>
      <c r="H18" s="124">
        <v>1</v>
      </c>
      <c r="I18" s="126">
        <v>65</v>
      </c>
      <c r="J18" s="32">
        <v>0</v>
      </c>
      <c r="K18" s="126">
        <v>0</v>
      </c>
      <c r="L18" s="32">
        <f t="shared" ref="L18:L22" si="1">+I18+J18-K18</f>
        <v>65</v>
      </c>
      <c r="M18" s="124" t="s">
        <v>75</v>
      </c>
      <c r="N18" s="124" t="s">
        <v>18</v>
      </c>
      <c r="O18" s="29"/>
      <c r="P18" s="60">
        <v>45673</v>
      </c>
      <c r="Q18" s="211" t="s">
        <v>47</v>
      </c>
      <c r="R18" s="59">
        <v>0</v>
      </c>
      <c r="T18" s="30" t="s">
        <v>5</v>
      </c>
      <c r="U18" s="32">
        <v>20</v>
      </c>
      <c r="V18" s="32">
        <v>0</v>
      </c>
      <c r="W18" s="32">
        <v>20</v>
      </c>
      <c r="X18" s="32" t="s">
        <v>75</v>
      </c>
      <c r="Y18" s="138" t="s">
        <v>15</v>
      </c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123">
        <v>45661</v>
      </c>
      <c r="C19" s="124" t="s">
        <v>205</v>
      </c>
      <c r="D19" s="125">
        <v>0</v>
      </c>
      <c r="E19" s="124" t="s">
        <v>8</v>
      </c>
      <c r="F19" s="124" t="s">
        <v>199</v>
      </c>
      <c r="G19" s="124"/>
      <c r="H19" s="124">
        <v>1</v>
      </c>
      <c r="I19" s="126">
        <v>65</v>
      </c>
      <c r="J19" s="32">
        <v>0</v>
      </c>
      <c r="K19" s="126">
        <v>0</v>
      </c>
      <c r="L19" s="32">
        <f t="shared" si="1"/>
        <v>65</v>
      </c>
      <c r="M19" s="124" t="s">
        <v>75</v>
      </c>
      <c r="N19" s="124" t="s">
        <v>18</v>
      </c>
      <c r="O19" s="29"/>
      <c r="P19" s="60">
        <v>45667</v>
      </c>
      <c r="Q19" s="211" t="s">
        <v>215</v>
      </c>
      <c r="R19" s="59">
        <v>0</v>
      </c>
      <c r="T19" s="30" t="s">
        <v>5</v>
      </c>
      <c r="U19" s="32">
        <v>100</v>
      </c>
      <c r="V19" s="32">
        <v>0</v>
      </c>
      <c r="W19" s="32">
        <v>100</v>
      </c>
      <c r="X19" s="32" t="s">
        <v>75</v>
      </c>
      <c r="Y19" s="30" t="s">
        <v>15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123">
        <v>45663</v>
      </c>
      <c r="C20" s="124" t="s">
        <v>206</v>
      </c>
      <c r="D20" s="125">
        <v>0</v>
      </c>
      <c r="E20" s="124" t="s">
        <v>8</v>
      </c>
      <c r="F20" s="124" t="s">
        <v>199</v>
      </c>
      <c r="G20" s="124"/>
      <c r="H20" s="124">
        <v>1</v>
      </c>
      <c r="I20" s="126">
        <v>65</v>
      </c>
      <c r="J20" s="32">
        <v>0</v>
      </c>
      <c r="K20" s="126">
        <v>0</v>
      </c>
      <c r="L20" s="32">
        <f t="shared" si="1"/>
        <v>65</v>
      </c>
      <c r="M20" s="124" t="s">
        <v>75</v>
      </c>
      <c r="N20" s="124" t="s">
        <v>18</v>
      </c>
      <c r="O20" s="29"/>
      <c r="P20" s="60">
        <v>45688</v>
      </c>
      <c r="Q20" s="211" t="s">
        <v>216</v>
      </c>
      <c r="R20" s="59">
        <v>217663923</v>
      </c>
      <c r="T20" s="30" t="s">
        <v>5</v>
      </c>
      <c r="U20" s="32">
        <v>133.19999999999999</v>
      </c>
      <c r="V20" s="32">
        <v>0</v>
      </c>
      <c r="W20" s="32">
        <v>133.19999999999999</v>
      </c>
      <c r="X20" s="32" t="s">
        <v>75</v>
      </c>
      <c r="Y20" s="30" t="s">
        <v>214</v>
      </c>
    </row>
    <row r="21" spans="2:544" ht="21.6" customHeight="1">
      <c r="B21" s="123">
        <v>45663</v>
      </c>
      <c r="C21" s="124" t="s">
        <v>207</v>
      </c>
      <c r="D21" s="125">
        <v>284976830</v>
      </c>
      <c r="E21" s="124" t="s">
        <v>8</v>
      </c>
      <c r="F21" s="124" t="s">
        <v>199</v>
      </c>
      <c r="G21" s="124">
        <v>1</v>
      </c>
      <c r="H21" s="124">
        <v>1</v>
      </c>
      <c r="I21" s="126">
        <v>65</v>
      </c>
      <c r="J21" s="32">
        <v>0</v>
      </c>
      <c r="K21" s="126">
        <v>0</v>
      </c>
      <c r="L21" s="32">
        <f t="shared" si="1"/>
        <v>65</v>
      </c>
      <c r="M21" s="124" t="s">
        <v>75</v>
      </c>
      <c r="N21" s="124" t="s">
        <v>13</v>
      </c>
      <c r="O21" s="29"/>
      <c r="V21" s="32">
        <f>+Desp_Jan[[#This Row],[Base]]*0.23</f>
        <v>0</v>
      </c>
      <c r="W21" s="32">
        <f>+Desp_Jan[[#This Row],[Base]]+Desp_Jan[[#This Row],[IVA ]]</f>
        <v>0</v>
      </c>
    </row>
    <row r="22" spans="2:544" ht="21.6" customHeight="1">
      <c r="B22" s="123">
        <v>45670</v>
      </c>
      <c r="C22" s="212" t="s">
        <v>203</v>
      </c>
      <c r="D22" s="125">
        <v>0</v>
      </c>
      <c r="E22" s="124" t="s">
        <v>8</v>
      </c>
      <c r="F22" s="124" t="s">
        <v>200</v>
      </c>
      <c r="G22" s="124"/>
      <c r="H22" s="124">
        <v>1</v>
      </c>
      <c r="I22" s="126">
        <v>38.5</v>
      </c>
      <c r="J22" s="32">
        <v>0</v>
      </c>
      <c r="K22" s="126">
        <v>0</v>
      </c>
      <c r="L22" s="32">
        <f t="shared" si="1"/>
        <v>38.5</v>
      </c>
      <c r="M22" s="124" t="s">
        <v>75</v>
      </c>
      <c r="N22" s="124" t="s">
        <v>18</v>
      </c>
      <c r="O22" s="29"/>
      <c r="V22" s="32">
        <f>+Desp_Jan[[#This Row],[Base]]*0.23</f>
        <v>0</v>
      </c>
      <c r="W22" s="32">
        <f>+Desp_Jan[[#This Row],[Base]]+Desp_Jan[[#This Row],[IVA ]]</f>
        <v>0</v>
      </c>
    </row>
    <row r="23" spans="2:544" ht="21.6" customHeight="1">
      <c r="B23" s="123">
        <v>45670</v>
      </c>
      <c r="C23" s="212" t="s">
        <v>208</v>
      </c>
      <c r="D23" s="125">
        <v>285231022</v>
      </c>
      <c r="E23" s="124" t="s">
        <v>8</v>
      </c>
      <c r="F23" s="124" t="s">
        <v>200</v>
      </c>
      <c r="G23" s="124">
        <v>3</v>
      </c>
      <c r="H23" s="124">
        <v>1</v>
      </c>
      <c r="I23" s="126">
        <v>55</v>
      </c>
      <c r="J23" s="32">
        <v>0</v>
      </c>
      <c r="K23" s="126">
        <v>0</v>
      </c>
      <c r="L23" s="32">
        <f t="shared" ref="L23:L31" si="2">+I23+J23-K23</f>
        <v>55</v>
      </c>
      <c r="M23" s="124" t="s">
        <v>75</v>
      </c>
      <c r="N23" s="124" t="s">
        <v>18</v>
      </c>
      <c r="O23" s="29"/>
    </row>
    <row r="24" spans="2:544" ht="21.6" customHeight="1">
      <c r="B24" s="123">
        <v>45672</v>
      </c>
      <c r="C24" s="212" t="s">
        <v>207</v>
      </c>
      <c r="D24" s="125">
        <v>284976830</v>
      </c>
      <c r="E24" s="124" t="s">
        <v>8</v>
      </c>
      <c r="F24" s="124" t="s">
        <v>199</v>
      </c>
      <c r="G24" s="124">
        <v>2</v>
      </c>
      <c r="H24" s="124">
        <v>1</v>
      </c>
      <c r="I24" s="126">
        <v>76.5</v>
      </c>
      <c r="J24" s="32">
        <v>0</v>
      </c>
      <c r="K24" s="126">
        <v>0</v>
      </c>
      <c r="L24" s="32">
        <f t="shared" si="2"/>
        <v>76.5</v>
      </c>
      <c r="M24" s="124" t="s">
        <v>75</v>
      </c>
      <c r="N24" s="212" t="s">
        <v>13</v>
      </c>
      <c r="O24" s="29"/>
    </row>
    <row r="25" spans="2:544" ht="21.6" customHeight="1">
      <c r="B25" s="123">
        <v>45672</v>
      </c>
      <c r="C25" s="212" t="s">
        <v>209</v>
      </c>
      <c r="D25" s="125">
        <v>0</v>
      </c>
      <c r="E25" s="124" t="s">
        <v>8</v>
      </c>
      <c r="F25" s="124" t="s">
        <v>199</v>
      </c>
      <c r="G25" s="124"/>
      <c r="H25" s="124">
        <v>1</v>
      </c>
      <c r="I25" s="126">
        <v>65</v>
      </c>
      <c r="J25" s="32">
        <v>0</v>
      </c>
      <c r="K25" s="126">
        <v>0</v>
      </c>
      <c r="L25" s="32">
        <f t="shared" si="2"/>
        <v>65</v>
      </c>
      <c r="M25" s="124" t="s">
        <v>75</v>
      </c>
      <c r="N25" s="212" t="s">
        <v>18</v>
      </c>
      <c r="U25" s="57"/>
      <c r="V25" s="57"/>
      <c r="W25" s="57"/>
      <c r="X25" s="57"/>
    </row>
    <row r="26" spans="2:544" ht="21.6" customHeight="1">
      <c r="B26" s="123">
        <v>45673</v>
      </c>
      <c r="C26" s="212" t="s">
        <v>203</v>
      </c>
      <c r="D26" s="125">
        <v>241710189</v>
      </c>
      <c r="E26" s="124" t="s">
        <v>8</v>
      </c>
      <c r="F26" s="124" t="s">
        <v>200</v>
      </c>
      <c r="G26" s="124">
        <v>5</v>
      </c>
      <c r="H26" s="124">
        <v>1</v>
      </c>
      <c r="I26" s="213">
        <v>38.5</v>
      </c>
      <c r="J26" s="32">
        <v>0</v>
      </c>
      <c r="K26" s="126">
        <v>0</v>
      </c>
      <c r="L26" s="32">
        <f t="shared" si="2"/>
        <v>38.5</v>
      </c>
      <c r="M26" s="124" t="s">
        <v>75</v>
      </c>
      <c r="N26" s="212" t="s">
        <v>18</v>
      </c>
      <c r="U26" s="57"/>
      <c r="V26" s="57"/>
      <c r="W26" s="57"/>
      <c r="X26" s="57"/>
    </row>
    <row r="27" spans="2:544" ht="21.6" customHeight="1">
      <c r="B27" s="123">
        <v>45674</v>
      </c>
      <c r="C27" s="212" t="s">
        <v>210</v>
      </c>
      <c r="D27" s="125">
        <v>0</v>
      </c>
      <c r="E27" s="124" t="s">
        <v>8</v>
      </c>
      <c r="F27" s="124" t="s">
        <v>200</v>
      </c>
      <c r="G27" s="124"/>
      <c r="H27" s="124">
        <v>2</v>
      </c>
      <c r="I27" s="126">
        <v>100</v>
      </c>
      <c r="J27" s="32">
        <v>0</v>
      </c>
      <c r="K27" s="126">
        <v>0</v>
      </c>
      <c r="L27" s="32">
        <f t="shared" si="2"/>
        <v>100</v>
      </c>
      <c r="M27" s="124" t="s">
        <v>75</v>
      </c>
      <c r="N27" s="212" t="s">
        <v>18</v>
      </c>
      <c r="U27" s="57"/>
      <c r="V27" s="57"/>
      <c r="W27" s="57"/>
      <c r="X27" s="57"/>
    </row>
    <row r="28" spans="2:544" ht="21.6" customHeight="1">
      <c r="B28" s="123">
        <v>45675</v>
      </c>
      <c r="C28" s="212" t="s">
        <v>211</v>
      </c>
      <c r="D28" s="125">
        <v>298308282</v>
      </c>
      <c r="E28" s="124" t="s">
        <v>8</v>
      </c>
      <c r="F28" s="124" t="s">
        <v>199</v>
      </c>
      <c r="G28" s="124">
        <v>4</v>
      </c>
      <c r="H28" s="124">
        <v>1</v>
      </c>
      <c r="I28" s="126">
        <v>76.5</v>
      </c>
      <c r="J28" s="32">
        <v>0</v>
      </c>
      <c r="K28" s="126">
        <v>0</v>
      </c>
      <c r="L28" s="32">
        <f t="shared" si="2"/>
        <v>76.5</v>
      </c>
      <c r="M28" s="124" t="s">
        <v>75</v>
      </c>
      <c r="N28" s="212" t="s">
        <v>18</v>
      </c>
      <c r="U28" s="57"/>
      <c r="V28" s="57"/>
      <c r="W28" s="57"/>
      <c r="X28" s="57"/>
    </row>
    <row r="29" spans="2:544" ht="21.6" customHeight="1">
      <c r="B29" s="123">
        <v>45679</v>
      </c>
      <c r="C29" s="212" t="s">
        <v>206</v>
      </c>
      <c r="D29" s="125">
        <v>0</v>
      </c>
      <c r="E29" s="124" t="s">
        <v>8</v>
      </c>
      <c r="F29" s="124" t="s">
        <v>201</v>
      </c>
      <c r="G29" s="124"/>
      <c r="H29" s="124">
        <v>1</v>
      </c>
      <c r="I29" s="126">
        <v>308</v>
      </c>
      <c r="J29" s="32">
        <v>0</v>
      </c>
      <c r="K29" s="126">
        <v>0</v>
      </c>
      <c r="L29" s="32">
        <f t="shared" si="2"/>
        <v>308</v>
      </c>
      <c r="M29" s="124" t="s">
        <v>75</v>
      </c>
      <c r="N29" s="212" t="s">
        <v>18</v>
      </c>
      <c r="U29" s="57"/>
      <c r="V29" s="57"/>
      <c r="W29" s="57"/>
      <c r="X29" s="57"/>
    </row>
    <row r="30" spans="2:544" ht="21.6" customHeight="1">
      <c r="B30" s="123">
        <v>45681</v>
      </c>
      <c r="C30" s="212" t="s">
        <v>208</v>
      </c>
      <c r="D30" s="125">
        <v>285231022</v>
      </c>
      <c r="E30" s="124" t="s">
        <v>8</v>
      </c>
      <c r="F30" s="124" t="s">
        <v>201</v>
      </c>
      <c r="G30" s="124">
        <v>6</v>
      </c>
      <c r="H30" s="124">
        <v>1</v>
      </c>
      <c r="I30" s="126">
        <v>400</v>
      </c>
      <c r="J30" s="32">
        <v>0</v>
      </c>
      <c r="K30" s="126">
        <v>0</v>
      </c>
      <c r="L30" s="32">
        <f t="shared" si="2"/>
        <v>400</v>
      </c>
      <c r="M30" s="124" t="s">
        <v>75</v>
      </c>
      <c r="N30" s="212" t="s">
        <v>18</v>
      </c>
      <c r="U30" s="57"/>
      <c r="V30" s="57"/>
      <c r="W30" s="57"/>
      <c r="X30" s="57"/>
    </row>
    <row r="31" spans="2:544" ht="21.6" customHeight="1">
      <c r="B31" s="123">
        <v>45684</v>
      </c>
      <c r="C31" s="212" t="s">
        <v>203</v>
      </c>
      <c r="D31" s="125">
        <v>0</v>
      </c>
      <c r="E31" s="124" t="s">
        <v>8</v>
      </c>
      <c r="F31" s="124" t="s">
        <v>200</v>
      </c>
      <c r="G31" s="124"/>
      <c r="H31" s="124">
        <v>1</v>
      </c>
      <c r="I31" s="126">
        <v>38.5</v>
      </c>
      <c r="J31" s="32">
        <v>0</v>
      </c>
      <c r="K31" s="126">
        <v>0</v>
      </c>
      <c r="L31" s="32">
        <f t="shared" si="2"/>
        <v>38.5</v>
      </c>
      <c r="M31" s="124" t="s">
        <v>75</v>
      </c>
      <c r="N31" s="212" t="s">
        <v>18</v>
      </c>
      <c r="U31" s="57"/>
      <c r="V31" s="57"/>
      <c r="W31" s="57"/>
      <c r="X31" s="57"/>
    </row>
    <row r="32" spans="2:544" ht="21.6" customHeight="1">
      <c r="U32" s="57"/>
      <c r="V32" s="57"/>
      <c r="W32" s="57"/>
      <c r="X32" s="57"/>
    </row>
    <row r="33" spans="21:24" ht="21.6" customHeight="1">
      <c r="U33" s="57"/>
      <c r="V33" s="57"/>
      <c r="W33" s="57"/>
      <c r="X33" s="57"/>
    </row>
    <row r="34" spans="21:24" ht="21.6" customHeight="1">
      <c r="U34" s="57"/>
      <c r="V34" s="57"/>
      <c r="W34" s="57"/>
      <c r="X34" s="57"/>
    </row>
    <row r="35" spans="21:24" ht="21.6" customHeight="1">
      <c r="U35" s="57"/>
      <c r="V35" s="57"/>
      <c r="W35" s="57"/>
      <c r="X35" s="57"/>
    </row>
    <row r="36" spans="21:24" ht="21.6" customHeight="1">
      <c r="U36" s="57"/>
      <c r="V36" s="57"/>
      <c r="W36" s="57"/>
      <c r="X36" s="57"/>
    </row>
    <row r="37" spans="21:24" ht="21.6" customHeight="1">
      <c r="U37" s="57"/>
      <c r="V37" s="57"/>
      <c r="W37" s="57"/>
      <c r="X37" s="57"/>
    </row>
    <row r="38" spans="21:24" ht="21.6" customHeight="1">
      <c r="U38" s="57"/>
      <c r="V38" s="57"/>
      <c r="W38" s="57"/>
      <c r="X38" s="57"/>
    </row>
    <row r="39" spans="21:24" ht="21.6" customHeight="1">
      <c r="U39" s="57"/>
      <c r="V39" s="57"/>
      <c r="W39" s="57"/>
      <c r="X39" s="57"/>
    </row>
    <row r="40" spans="21:24" ht="21.6" customHeight="1">
      <c r="U40" s="57"/>
      <c r="V40" s="57"/>
      <c r="W40" s="57"/>
      <c r="X40" s="57"/>
    </row>
    <row r="41" spans="21:24" ht="21.6" customHeight="1">
      <c r="U41" s="57"/>
      <c r="V41" s="57"/>
      <c r="W41" s="57"/>
      <c r="X41" s="57"/>
    </row>
    <row r="42" spans="21:24" ht="21.6" customHeight="1">
      <c r="U42" s="57"/>
      <c r="V42" s="57"/>
      <c r="W42" s="57"/>
      <c r="X42" s="57"/>
    </row>
    <row r="43" spans="21:24" ht="21.6" customHeight="1">
      <c r="U43" s="57"/>
      <c r="V43" s="57"/>
      <c r="W43" s="57"/>
      <c r="X43" s="57"/>
    </row>
    <row r="44" spans="21:24" ht="21.6" customHeight="1">
      <c r="U44" s="57"/>
      <c r="V44" s="57"/>
      <c r="W44" s="57"/>
      <c r="X44" s="57"/>
    </row>
    <row r="45" spans="21:24" ht="21.6" customHeight="1">
      <c r="U45" s="57"/>
      <c r="V45" s="57"/>
      <c r="W45" s="57"/>
      <c r="X45" s="57"/>
    </row>
    <row r="46" spans="21:24" ht="21.6" customHeight="1">
      <c r="U46" s="57"/>
      <c r="V46" s="57"/>
      <c r="W46" s="57"/>
      <c r="X46" s="57"/>
    </row>
    <row r="47" spans="21:24" ht="21.6" customHeight="1">
      <c r="U47" s="57"/>
      <c r="V47" s="57"/>
      <c r="W47" s="57"/>
      <c r="X47" s="57"/>
    </row>
    <row r="48" spans="21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</sheetData>
  <sheetProtection insertRows="0" deleteRows="0"/>
  <mergeCells count="23">
    <mergeCell ref="A1:Z1"/>
    <mergeCell ref="B13:N13"/>
    <mergeCell ref="P13:Y13"/>
    <mergeCell ref="TR1:TX1"/>
    <mergeCell ref="M14:N14"/>
    <mergeCell ref="C5:D5"/>
    <mergeCell ref="C7:D7"/>
    <mergeCell ref="C8:D8"/>
    <mergeCell ref="C6:D6"/>
    <mergeCell ref="C9:D9"/>
    <mergeCell ref="C10:D10"/>
    <mergeCell ref="C3:I3"/>
    <mergeCell ref="G6:H6"/>
    <mergeCell ref="G7:H7"/>
    <mergeCell ref="G8:H8"/>
    <mergeCell ref="U5:V5"/>
    <mergeCell ref="U7:V7"/>
    <mergeCell ref="T3:V3"/>
    <mergeCell ref="G10:H10"/>
    <mergeCell ref="G5:H5"/>
    <mergeCell ref="L3:R3"/>
    <mergeCell ref="O5:P5"/>
    <mergeCell ref="O7:P7"/>
  </mergeCells>
  <conditionalFormatting sqref="B4:C5 C6:C10 B7:B10 B11:C12">
    <cfRule type="expression" dxfId="180" priority="7">
      <formula>$B4="Resultado Líquido"</formula>
    </cfRule>
    <cfRule type="expression" dxfId="179" priority="8">
      <formula>OR($B4="Faturação",$B4="Despesas")</formula>
    </cfRule>
  </conditionalFormatting>
  <conditionalFormatting sqref="C23:M23 B24:C24 E24:M24 B25:M25 B26:D27 F26:M27 B28:M1048576">
    <cfRule type="expression" dxfId="178" priority="19">
      <formula>$B23="Total"</formula>
    </cfRule>
  </conditionalFormatting>
  <conditionalFormatting sqref="E27">
    <cfRule type="expression" dxfId="177" priority="123">
      <formula>$B26="Total"</formula>
    </cfRule>
  </conditionalFormatting>
  <conditionalFormatting sqref="G5:G8">
    <cfRule type="expression" dxfId="176" priority="3">
      <formula>$B5="Resultado Líquido"</formula>
    </cfRule>
    <cfRule type="expression" dxfId="175" priority="4">
      <formula>OR($B5="Faturação",$B5="Despesas")</formula>
    </cfRule>
  </conditionalFormatting>
  <conditionalFormatting sqref="G10">
    <cfRule type="expression" dxfId="174" priority="1">
      <formula>$B10="Resultado Líquido"</formula>
    </cfRule>
    <cfRule type="expression" dxfId="173" priority="2">
      <formula>OR($B10="Faturação",$B10="Despesas")</formula>
    </cfRule>
  </conditionalFormatting>
  <conditionalFormatting sqref="O23:O24">
    <cfRule type="expression" dxfId="172" priority="25">
      <formula>#REF!="Total"</formula>
    </cfRule>
  </conditionalFormatting>
  <conditionalFormatting sqref="P15:Y1048576">
    <cfRule type="expression" dxfId="171" priority="17">
      <formula>$P15="Total"</formula>
    </cfRule>
  </conditionalFormatting>
  <dataValidations count="10">
    <dataValidation type="list" allowBlank="1" showInputMessage="1" showErrorMessage="1" sqref="E16:E31" xr:uid="{8C5E4BCC-6AB6-427F-A393-DF25EEB77D87}">
      <formula1>"Produtos,Serviços"</formula1>
    </dataValidation>
    <dataValidation type="list" allowBlank="1" showErrorMessage="1" sqref="M16:M31" xr:uid="{576FD743-E28A-4D77-A522-EDBFEAC26C39}">
      <formula1>"Pago,Pendente,Vencido"</formula1>
    </dataValidation>
    <dataValidation type="list" allowBlank="1" showErrorMessage="1" sqref="N23" xr:uid="{C2203284-0E5A-4515-8E8D-7F6935FDC3C5}">
      <formula1>"MBWay,Transferência Bancária,Stripe,Numerário"</formula1>
    </dataValidation>
    <dataValidation type="list" allowBlank="1" showInputMessage="1" showErrorMessage="1" sqref="X16:X22" xr:uid="{E26F7203-92CD-4ACD-8C0A-FF8CBE69DBA1}">
      <formula1>"Pago,Pendente,Vencido"</formula1>
    </dataValidation>
    <dataValidation type="list" allowBlank="1" showInputMessage="1" showErrorMessage="1" sqref="T16:T22" xr:uid="{0290094C-9FE6-4263-B2B1-F4E6B9281C47}">
      <formula1>Filtro_Desp</formula1>
    </dataValidation>
    <dataValidation type="whole" allowBlank="1" showInputMessage="1" showErrorMessage="1" sqref="R16:R22 D16:D31" xr:uid="{554F9468-A60C-4E92-88E8-4CE1A6349288}">
      <formula1>0</formula1>
      <formula2>999999999</formula2>
    </dataValidation>
    <dataValidation type="date" allowBlank="1" showInputMessage="1" showErrorMessage="1" sqref="P16:P22 B16:B31" xr:uid="{D1F85D0B-69BB-4992-8C66-6A58A28C8346}">
      <formula1>43831</formula1>
      <formula2>73050</formula2>
    </dataValidation>
    <dataValidation type="list" allowBlank="1" showErrorMessage="1" sqref="N16:N22" xr:uid="{8A67E46C-1F6C-4BD6-90BB-E1F4BA311CC1}">
      <formula1>Filtro_Pag</formula1>
    </dataValidation>
    <dataValidation type="list" allowBlank="1" showInputMessage="1" showErrorMessage="1" sqref="Y16:Y22" xr:uid="{CCF4E9EB-6475-436C-8E42-8112F00096D4}">
      <formula1>Filtro_Pag</formula1>
    </dataValidation>
    <dataValidation type="list" allowBlank="1" showInputMessage="1" showErrorMessage="1" sqref="F16:F31" xr:uid="{4CB64073-BCF2-47E4-9958-3E6DB4B05916}">
      <formula1>INDIRECT($E16)</formula1>
    </dataValidation>
  </dataValidations>
  <pageMargins left="0.7" right="0.7" top="0.75" bottom="0.75" header="0" footer="0"/>
  <pageSetup paperSize="9" orientation="portrait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49F8-2CAA-405E-AF31-189A83A70EC7}">
  <sheetPr codeName="Folha6"/>
  <dimension ref="A1:TX989"/>
  <sheetViews>
    <sheetView showGridLines="0" zoomScale="70" zoomScaleNormal="70" workbookViewId="0">
      <selection activeCell="T27" sqref="T27"/>
    </sheetView>
  </sheetViews>
  <sheetFormatPr defaultColWidth="14.44140625" defaultRowHeight="21.6" customHeight="1"/>
  <cols>
    <col min="1" max="1" width="4.109375" customWidth="1"/>
    <col min="2" max="2" width="22.44140625" style="60" bestFit="1" customWidth="1"/>
    <col min="3" max="3" width="16.8867187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9" width="15.6640625" style="32" customWidth="1"/>
    <col min="10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3.88671875" style="30" customWidth="1"/>
    <col min="18" max="18" width="14.6640625" style="59" customWidth="1"/>
    <col min="19" max="19" width="15.44140625" style="30" customWidth="1"/>
    <col min="20" max="20" width="17.8867187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93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39" t="s">
        <v>94</v>
      </c>
      <c r="TS1" s="239"/>
      <c r="TT1" s="239"/>
      <c r="TU1" s="239"/>
      <c r="TV1" s="239"/>
      <c r="TW1" s="239"/>
      <c r="TX1" s="239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/>
      <c r="TS2" s="127"/>
      <c r="TT2" s="127"/>
      <c r="TU2" s="127"/>
      <c r="TV2" s="127"/>
      <c r="TW2" s="127"/>
      <c r="TX2" s="127"/>
    </row>
    <row r="3" spans="1:544" ht="36.9" customHeight="1">
      <c r="C3" s="233" t="s">
        <v>95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1084</v>
      </c>
      <c r="G5" s="235" t="s">
        <v>71</v>
      </c>
      <c r="H5" s="235"/>
      <c r="I5" s="166">
        <f ca="1">SUM(I6:I8)</f>
        <v>545.93999999999994</v>
      </c>
      <c r="J5" s="31"/>
      <c r="K5" s="31"/>
      <c r="L5" s="170" t="s">
        <v>72</v>
      </c>
      <c r="M5" s="171">
        <f>+L14</f>
        <v>1084</v>
      </c>
      <c r="N5" s="168" t="s">
        <v>73</v>
      </c>
      <c r="O5" s="231">
        <f ca="1">+SUMIF(M16:M2599,"Pago",L16:L2499)</f>
        <v>1084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614.5</v>
      </c>
      <c r="F6" s="30"/>
      <c r="G6" s="234" t="s">
        <v>6</v>
      </c>
      <c r="H6" s="234"/>
      <c r="I6" s="167">
        <f ca="1">+SUMIF(T16:T199994,G6,U16:U4994)</f>
        <v>0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269.5</v>
      </c>
      <c r="F7" s="30"/>
      <c r="G7" s="234" t="s">
        <v>5</v>
      </c>
      <c r="H7" s="234"/>
      <c r="I7" s="167">
        <f ca="1">+SUMIF(T16:T199994,G7,U16:U4994)</f>
        <v>545.93999999999994</v>
      </c>
      <c r="J7" s="32"/>
      <c r="K7" s="32"/>
      <c r="L7" s="170" t="s">
        <v>4</v>
      </c>
      <c r="M7" s="171">
        <f>+W14</f>
        <v>269.39</v>
      </c>
      <c r="N7" s="168" t="s">
        <v>75</v>
      </c>
      <c r="O7" s="231">
        <f ca="1">+SUMIF(X16:X2599,"Pago",W16:W2499)</f>
        <v>269.39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200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538.06000000000006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+SUM(Fat_Fev[Base])</f>
        <v>1084</v>
      </c>
      <c r="J14" s="52">
        <f>+SUM(Fat_Fev[[IVA ]])</f>
        <v>0</v>
      </c>
      <c r="K14" s="52">
        <f>+SUM(Fat_Fev[Retenção])</f>
        <v>0</v>
      </c>
      <c r="L14" s="52">
        <f>+SUM(Fat_Fev[Total])</f>
        <v>1084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+SUM(Desp_Fev[Base])</f>
        <v>545.93999999999994</v>
      </c>
      <c r="V14" s="52">
        <f>SUM(Desp_Fev[[IVA ]])</f>
        <v>3.45</v>
      </c>
      <c r="W14" s="52">
        <f>SUM(Desp_Fev[Total])</f>
        <v>269.39</v>
      </c>
      <c r="X14"/>
      <c r="Y14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60">
        <v>45689</v>
      </c>
      <c r="C16" s="211" t="s">
        <v>217</v>
      </c>
      <c r="D16" s="59">
        <v>297521012</v>
      </c>
      <c r="E16" s="30" t="s">
        <v>8</v>
      </c>
      <c r="F16" s="30" t="s">
        <v>199</v>
      </c>
      <c r="G16" s="30">
        <v>7</v>
      </c>
      <c r="H16" s="30">
        <v>1</v>
      </c>
      <c r="I16" s="32">
        <v>76.5</v>
      </c>
      <c r="J16" s="32">
        <v>0</v>
      </c>
      <c r="K16" s="126">
        <v>0</v>
      </c>
      <c r="L16" s="32">
        <f>+I16+J16-K16</f>
        <v>76.5</v>
      </c>
      <c r="M16" s="30" t="s">
        <v>75</v>
      </c>
      <c r="N16" s="30" t="s">
        <v>20</v>
      </c>
      <c r="O16" s="29"/>
      <c r="P16" s="60">
        <v>45691</v>
      </c>
      <c r="Q16" s="211" t="s">
        <v>212</v>
      </c>
      <c r="T16" s="30" t="s">
        <v>5</v>
      </c>
      <c r="U16" s="32">
        <v>280</v>
      </c>
      <c r="V16" s="32">
        <v>0</v>
      </c>
      <c r="W16" s="32">
        <v>0</v>
      </c>
      <c r="X16" s="32" t="s">
        <v>75</v>
      </c>
      <c r="Y16" s="138" t="s">
        <v>15</v>
      </c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60">
        <v>45691</v>
      </c>
      <c r="C17" s="211" t="s">
        <v>203</v>
      </c>
      <c r="D17" s="125">
        <v>241710189</v>
      </c>
      <c r="E17" s="30" t="s">
        <v>8</v>
      </c>
      <c r="F17" s="30" t="s">
        <v>200</v>
      </c>
      <c r="G17" s="30">
        <v>8</v>
      </c>
      <c r="H17" s="30">
        <v>1</v>
      </c>
      <c r="I17" s="32">
        <v>38.5</v>
      </c>
      <c r="J17" s="32">
        <v>0</v>
      </c>
      <c r="K17" s="126">
        <v>0</v>
      </c>
      <c r="L17" s="32">
        <f t="shared" ref="L17:L18" si="0">+I17+J17-K17</f>
        <v>38.5</v>
      </c>
      <c r="M17" s="30" t="s">
        <v>75</v>
      </c>
      <c r="N17" s="30" t="s">
        <v>18</v>
      </c>
      <c r="O17" s="29"/>
      <c r="P17" s="60">
        <v>45693</v>
      </c>
      <c r="Q17" s="211" t="s">
        <v>213</v>
      </c>
      <c r="T17" s="30" t="s">
        <v>5</v>
      </c>
      <c r="U17" s="32">
        <v>15</v>
      </c>
      <c r="V17" s="32">
        <f>+Desp_Fev[[#This Row],[Base]]*0.23</f>
        <v>3.45</v>
      </c>
      <c r="W17" s="32">
        <f>+Desp_Fev[[#This Row],[Base]]+Desp_Fev[[#This Row],[IVA ]]</f>
        <v>18.45</v>
      </c>
      <c r="X17" s="32" t="s">
        <v>75</v>
      </c>
      <c r="Y17" s="138" t="s">
        <v>214</v>
      </c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60">
        <v>45695</v>
      </c>
      <c r="C18" s="211" t="s">
        <v>203</v>
      </c>
      <c r="D18" s="59">
        <v>0</v>
      </c>
      <c r="E18" s="30" t="s">
        <v>8</v>
      </c>
      <c r="F18" s="30" t="s">
        <v>200</v>
      </c>
      <c r="H18" s="30">
        <v>1</v>
      </c>
      <c r="I18" s="32">
        <v>38.5</v>
      </c>
      <c r="J18" s="32">
        <v>0</v>
      </c>
      <c r="K18" s="126">
        <v>0</v>
      </c>
      <c r="L18" s="32">
        <f t="shared" si="0"/>
        <v>38.5</v>
      </c>
      <c r="M18" s="30" t="s">
        <v>75</v>
      </c>
      <c r="N18" s="30" t="s">
        <v>18</v>
      </c>
      <c r="O18" s="29"/>
      <c r="P18" s="60">
        <v>45699</v>
      </c>
      <c r="Q18" s="211" t="s">
        <v>215</v>
      </c>
      <c r="T18" s="30" t="s">
        <v>5</v>
      </c>
      <c r="U18" s="32">
        <v>100</v>
      </c>
      <c r="V18" s="32">
        <v>0</v>
      </c>
      <c r="W18" s="32">
        <v>100</v>
      </c>
      <c r="X18" s="32" t="s">
        <v>75</v>
      </c>
      <c r="Y18" s="138" t="s">
        <v>15</v>
      </c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60">
        <v>45696</v>
      </c>
      <c r="C19" s="211" t="s">
        <v>218</v>
      </c>
      <c r="D19" s="59">
        <v>187354014</v>
      </c>
      <c r="E19" s="30" t="s">
        <v>8</v>
      </c>
      <c r="F19" s="30" t="s">
        <v>199</v>
      </c>
      <c r="G19" s="30">
        <v>9</v>
      </c>
      <c r="H19" s="30">
        <v>1</v>
      </c>
      <c r="I19" s="32">
        <v>85</v>
      </c>
      <c r="J19" s="32">
        <v>0</v>
      </c>
      <c r="K19" s="126">
        <v>0</v>
      </c>
      <c r="L19" s="32">
        <f t="shared" ref="L19:L21" si="1">+I19+J19-K19</f>
        <v>85</v>
      </c>
      <c r="M19" s="30" t="s">
        <v>75</v>
      </c>
      <c r="N19" s="30" t="s">
        <v>20</v>
      </c>
      <c r="O19" s="29"/>
      <c r="P19" s="60">
        <v>45705</v>
      </c>
      <c r="Q19" s="211" t="s">
        <v>47</v>
      </c>
      <c r="T19" s="30" t="s">
        <v>5</v>
      </c>
      <c r="U19" s="32">
        <v>20</v>
      </c>
      <c r="V19" s="32">
        <v>0</v>
      </c>
      <c r="W19" s="32">
        <v>20</v>
      </c>
      <c r="X19" s="32" t="s">
        <v>75</v>
      </c>
      <c r="Y19" s="30" t="s">
        <v>15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60">
        <v>45696</v>
      </c>
      <c r="C20" s="211" t="s">
        <v>219</v>
      </c>
      <c r="D20" s="59">
        <v>0</v>
      </c>
      <c r="E20" s="30" t="s">
        <v>8</v>
      </c>
      <c r="F20" s="30" t="s">
        <v>199</v>
      </c>
      <c r="H20" s="30">
        <v>1</v>
      </c>
      <c r="I20" s="32">
        <v>65</v>
      </c>
      <c r="J20" s="32">
        <v>0</v>
      </c>
      <c r="K20" s="126">
        <v>0</v>
      </c>
      <c r="L20" s="32">
        <f t="shared" si="1"/>
        <v>65</v>
      </c>
      <c r="M20" s="30" t="s">
        <v>75</v>
      </c>
      <c r="N20" s="30" t="s">
        <v>18</v>
      </c>
      <c r="O20" s="29"/>
      <c r="P20" s="60">
        <v>45707</v>
      </c>
      <c r="Q20" s="211" t="s">
        <v>226</v>
      </c>
      <c r="T20" s="30" t="s">
        <v>5</v>
      </c>
      <c r="U20" s="32">
        <v>31.5</v>
      </c>
      <c r="V20" s="32">
        <v>0</v>
      </c>
      <c r="W20" s="32">
        <v>31.5</v>
      </c>
      <c r="X20" s="32" t="s">
        <v>75</v>
      </c>
      <c r="Y20" s="30" t="s">
        <v>15</v>
      </c>
    </row>
    <row r="21" spans="2:544" ht="21.6" customHeight="1">
      <c r="B21" s="60">
        <v>45694</v>
      </c>
      <c r="C21" s="211" t="s">
        <v>220</v>
      </c>
      <c r="D21" s="59">
        <v>0</v>
      </c>
      <c r="E21" s="30" t="s">
        <v>8</v>
      </c>
      <c r="F21" s="30" t="s">
        <v>199</v>
      </c>
      <c r="H21" s="30">
        <v>1</v>
      </c>
      <c r="I21" s="32">
        <v>65</v>
      </c>
      <c r="J21" s="32">
        <v>0</v>
      </c>
      <c r="K21" s="126">
        <v>0</v>
      </c>
      <c r="L21" s="32">
        <f t="shared" si="1"/>
        <v>65</v>
      </c>
      <c r="M21" s="30" t="s">
        <v>75</v>
      </c>
      <c r="N21" s="30" t="s">
        <v>18</v>
      </c>
      <c r="O21" s="29"/>
      <c r="P21" s="60">
        <v>45713</v>
      </c>
      <c r="Q21" s="211" t="s">
        <v>227</v>
      </c>
      <c r="T21" s="30" t="s">
        <v>5</v>
      </c>
      <c r="U21" s="32">
        <v>19.149999999999999</v>
      </c>
      <c r="V21" s="32">
        <v>0</v>
      </c>
      <c r="W21" s="32">
        <v>19.149999999999999</v>
      </c>
      <c r="X21" s="32" t="s">
        <v>75</v>
      </c>
      <c r="Y21" s="30" t="s">
        <v>15</v>
      </c>
    </row>
    <row r="22" spans="2:544" ht="21.6" customHeight="1">
      <c r="B22" s="60">
        <v>45698</v>
      </c>
      <c r="C22" s="211" t="s">
        <v>221</v>
      </c>
      <c r="D22" s="59">
        <v>288608143</v>
      </c>
      <c r="E22" s="30" t="s">
        <v>8</v>
      </c>
      <c r="F22" s="30" t="s">
        <v>199</v>
      </c>
      <c r="G22" s="30">
        <v>10</v>
      </c>
      <c r="H22" s="30">
        <v>1</v>
      </c>
      <c r="I22" s="32">
        <v>76.5</v>
      </c>
      <c r="J22" s="32">
        <v>0</v>
      </c>
      <c r="K22" s="126">
        <v>0</v>
      </c>
      <c r="L22" s="32">
        <f t="shared" ref="L22" si="2">+I22+J22-K22</f>
        <v>76.5</v>
      </c>
      <c r="M22" s="30" t="s">
        <v>75</v>
      </c>
      <c r="N22" s="30" t="s">
        <v>20</v>
      </c>
      <c r="O22" s="29"/>
      <c r="P22" s="60">
        <v>45713</v>
      </c>
      <c r="Q22" s="211" t="s">
        <v>228</v>
      </c>
      <c r="T22" s="30" t="s">
        <v>5</v>
      </c>
      <c r="U22" s="32">
        <v>79.69</v>
      </c>
      <c r="V22" s="32">
        <v>0</v>
      </c>
      <c r="W22" s="32">
        <v>79.69</v>
      </c>
      <c r="X22" s="32" t="s">
        <v>75</v>
      </c>
      <c r="Y22" s="30" t="s">
        <v>214</v>
      </c>
    </row>
    <row r="23" spans="2:544" ht="21.6" customHeight="1">
      <c r="B23" s="60">
        <v>45698</v>
      </c>
      <c r="C23" s="211" t="s">
        <v>222</v>
      </c>
      <c r="D23" s="59">
        <v>319466493</v>
      </c>
      <c r="E23" s="30" t="s">
        <v>8</v>
      </c>
      <c r="F23" s="30" t="s">
        <v>199</v>
      </c>
      <c r="G23" s="30">
        <v>12</v>
      </c>
      <c r="H23" s="30">
        <v>1</v>
      </c>
      <c r="I23" s="32">
        <v>85</v>
      </c>
      <c r="J23" s="32">
        <v>0</v>
      </c>
      <c r="K23" s="32">
        <v>0</v>
      </c>
      <c r="L23" s="32">
        <f>+I23+J23-K23</f>
        <v>85</v>
      </c>
      <c r="M23" s="30" t="s">
        <v>75</v>
      </c>
      <c r="N23" s="30" t="s">
        <v>15</v>
      </c>
      <c r="O23" s="29"/>
      <c r="P23" s="60">
        <v>45713</v>
      </c>
      <c r="Q23" s="211" t="s">
        <v>229</v>
      </c>
      <c r="T23" s="30" t="s">
        <v>5</v>
      </c>
      <c r="U23" s="32">
        <v>0.6</v>
      </c>
      <c r="V23" s="32">
        <v>0</v>
      </c>
      <c r="W23" s="32">
        <v>0.6</v>
      </c>
      <c r="X23" s="32" t="s">
        <v>75</v>
      </c>
      <c r="Y23" s="30" t="s">
        <v>214</v>
      </c>
    </row>
    <row r="24" spans="2:544" ht="21.6" customHeight="1">
      <c r="B24" s="60">
        <v>45698</v>
      </c>
      <c r="C24" s="211" t="s">
        <v>222</v>
      </c>
      <c r="D24" s="59">
        <v>319466493</v>
      </c>
      <c r="E24" s="30" t="s">
        <v>8</v>
      </c>
      <c r="F24" s="30" t="s">
        <v>201</v>
      </c>
      <c r="G24" s="30">
        <v>12</v>
      </c>
      <c r="H24" s="30">
        <v>1</v>
      </c>
      <c r="I24" s="32">
        <v>200</v>
      </c>
      <c r="J24" s="32">
        <v>0</v>
      </c>
      <c r="K24" s="32">
        <v>0</v>
      </c>
      <c r="L24" s="32">
        <f>+I24+J24-K24</f>
        <v>200</v>
      </c>
      <c r="M24" s="30" t="s">
        <v>75</v>
      </c>
      <c r="N24" s="30" t="s">
        <v>15</v>
      </c>
      <c r="O24" s="29"/>
    </row>
    <row r="25" spans="2:544" ht="21.6" customHeight="1">
      <c r="B25" s="60">
        <v>45700</v>
      </c>
      <c r="C25" s="211" t="s">
        <v>223</v>
      </c>
      <c r="D25" s="59">
        <v>273251163</v>
      </c>
      <c r="E25" s="30" t="s">
        <v>8</v>
      </c>
      <c r="F25" s="30" t="s">
        <v>199</v>
      </c>
      <c r="G25" s="30">
        <v>11</v>
      </c>
      <c r="H25" s="30">
        <v>1</v>
      </c>
      <c r="I25" s="32">
        <v>85</v>
      </c>
      <c r="J25" s="32">
        <v>0</v>
      </c>
      <c r="K25" s="32">
        <v>0</v>
      </c>
      <c r="L25" s="32">
        <f>+I25+J25-K25</f>
        <v>85</v>
      </c>
      <c r="M25" s="30" t="s">
        <v>75</v>
      </c>
      <c r="N25" s="30" t="s">
        <v>20</v>
      </c>
      <c r="U25" s="57"/>
      <c r="V25" s="57"/>
      <c r="W25" s="57"/>
      <c r="X25" s="57"/>
    </row>
    <row r="26" spans="2:544" ht="21.6" customHeight="1">
      <c r="B26" s="60">
        <v>45701</v>
      </c>
      <c r="C26" s="211" t="s">
        <v>224</v>
      </c>
      <c r="D26" s="125">
        <v>241710189</v>
      </c>
      <c r="E26" s="30" t="s">
        <v>8</v>
      </c>
      <c r="F26" s="30" t="s">
        <v>200</v>
      </c>
      <c r="G26" s="30">
        <v>13</v>
      </c>
      <c r="H26" s="30">
        <v>1</v>
      </c>
      <c r="I26" s="32">
        <v>38.5</v>
      </c>
      <c r="J26" s="32">
        <v>0</v>
      </c>
      <c r="K26" s="32">
        <v>0</v>
      </c>
      <c r="L26" s="32">
        <v>38.5</v>
      </c>
      <c r="M26" s="30" t="s">
        <v>75</v>
      </c>
      <c r="N26" s="30" t="s">
        <v>18</v>
      </c>
      <c r="U26" s="57"/>
      <c r="V26" s="57"/>
      <c r="W26" s="57"/>
      <c r="X26" s="57"/>
    </row>
    <row r="27" spans="2:544" ht="21.6" customHeight="1">
      <c r="B27" s="60">
        <v>45706</v>
      </c>
      <c r="C27" s="211" t="s">
        <v>224</v>
      </c>
      <c r="D27" s="59">
        <v>0</v>
      </c>
      <c r="E27" s="30" t="s">
        <v>8</v>
      </c>
      <c r="F27" s="30" t="s">
        <v>200</v>
      </c>
      <c r="H27" s="30">
        <v>1</v>
      </c>
      <c r="I27" s="32">
        <v>38.5</v>
      </c>
      <c r="J27" s="32">
        <v>0</v>
      </c>
      <c r="K27" s="32">
        <v>0</v>
      </c>
      <c r="L27" s="32">
        <f>+I27+J27-K27</f>
        <v>38.5</v>
      </c>
      <c r="M27" s="30" t="s">
        <v>75</v>
      </c>
      <c r="N27" s="30" t="s">
        <v>18</v>
      </c>
      <c r="U27" s="57"/>
      <c r="V27" s="57"/>
      <c r="W27" s="57"/>
      <c r="X27" s="57"/>
    </row>
    <row r="28" spans="2:544" ht="21.6" customHeight="1">
      <c r="B28" s="60">
        <v>45708</v>
      </c>
      <c r="C28" s="211" t="s">
        <v>224</v>
      </c>
      <c r="D28" s="125">
        <v>241710189</v>
      </c>
      <c r="E28" s="30" t="s">
        <v>8</v>
      </c>
      <c r="F28" s="30" t="s">
        <v>200</v>
      </c>
      <c r="G28" s="30">
        <v>14</v>
      </c>
      <c r="H28" s="30">
        <v>1</v>
      </c>
      <c r="I28" s="32">
        <v>38.5</v>
      </c>
      <c r="J28" s="32">
        <v>0</v>
      </c>
      <c r="K28" s="32">
        <v>0</v>
      </c>
      <c r="L28" s="32">
        <f>+I28+J28-K28</f>
        <v>38.5</v>
      </c>
      <c r="M28" s="30" t="s">
        <v>75</v>
      </c>
      <c r="N28" s="30" t="s">
        <v>18</v>
      </c>
      <c r="U28" s="57"/>
      <c r="V28" s="57"/>
      <c r="W28" s="57"/>
      <c r="X28" s="57"/>
    </row>
    <row r="29" spans="2:544" ht="21.6" customHeight="1">
      <c r="B29" s="60">
        <v>45708</v>
      </c>
      <c r="C29" s="211" t="s">
        <v>225</v>
      </c>
      <c r="D29" s="59">
        <v>297118668</v>
      </c>
      <c r="E29" s="30" t="s">
        <v>8</v>
      </c>
      <c r="F29" s="211" t="s">
        <v>199</v>
      </c>
      <c r="G29" s="30">
        <v>15</v>
      </c>
      <c r="H29" s="30">
        <v>1</v>
      </c>
      <c r="I29" s="32">
        <v>76.5</v>
      </c>
      <c r="J29" s="32">
        <v>0</v>
      </c>
      <c r="K29" s="32">
        <v>0</v>
      </c>
      <c r="L29" s="32">
        <f>+I29+J29-K29</f>
        <v>76.5</v>
      </c>
      <c r="M29" s="30" t="s">
        <v>75</v>
      </c>
      <c r="N29" s="30" t="s">
        <v>18</v>
      </c>
      <c r="U29" s="57"/>
      <c r="V29" s="57"/>
      <c r="W29" s="57"/>
      <c r="X29" s="57"/>
    </row>
    <row r="30" spans="2:544" ht="21.6" customHeight="1">
      <c r="B30" s="60">
        <v>45715</v>
      </c>
      <c r="C30" s="211" t="s">
        <v>224</v>
      </c>
      <c r="D30" s="59">
        <v>0</v>
      </c>
      <c r="E30" s="30" t="s">
        <v>8</v>
      </c>
      <c r="F30" s="30" t="s">
        <v>200</v>
      </c>
      <c r="H30" s="30">
        <v>1</v>
      </c>
      <c r="I30" s="32">
        <v>38.5</v>
      </c>
      <c r="J30" s="32">
        <v>0</v>
      </c>
      <c r="K30" s="32">
        <v>0</v>
      </c>
      <c r="L30" s="32">
        <f>+I30+J30-K30</f>
        <v>38.5</v>
      </c>
      <c r="M30" s="30" t="s">
        <v>75</v>
      </c>
      <c r="N30" s="30" t="s">
        <v>18</v>
      </c>
      <c r="U30" s="57"/>
      <c r="V30" s="57"/>
      <c r="W30" s="57"/>
      <c r="X30" s="57"/>
    </row>
    <row r="31" spans="2:544" ht="21.6" customHeight="1">
      <c r="B31" s="60">
        <v>45713</v>
      </c>
      <c r="C31" s="211" t="s">
        <v>224</v>
      </c>
      <c r="D31" s="59">
        <v>0</v>
      </c>
      <c r="E31" s="30" t="s">
        <v>8</v>
      </c>
      <c r="F31" s="30" t="s">
        <v>200</v>
      </c>
      <c r="H31" s="30">
        <v>1</v>
      </c>
      <c r="I31" s="32">
        <v>38.5</v>
      </c>
      <c r="J31" s="32">
        <v>0</v>
      </c>
      <c r="K31" s="32">
        <v>0</v>
      </c>
      <c r="L31" s="32">
        <f>+I31+J31-K31</f>
        <v>38.5</v>
      </c>
      <c r="M31" s="30" t="s">
        <v>75</v>
      </c>
      <c r="N31" s="30" t="s">
        <v>18</v>
      </c>
      <c r="U31" s="57"/>
      <c r="V31" s="57"/>
      <c r="W31" s="57"/>
      <c r="X31" s="57"/>
    </row>
    <row r="32" spans="2:544" ht="21.6" customHeight="1">
      <c r="U32" s="57"/>
      <c r="V32" s="57"/>
      <c r="W32" s="57"/>
      <c r="X32" s="57"/>
    </row>
    <row r="33" spans="21:24" ht="21.6" customHeight="1">
      <c r="U33" s="57"/>
      <c r="V33" s="57"/>
      <c r="W33" s="57"/>
      <c r="X33" s="57"/>
    </row>
    <row r="34" spans="21:24" ht="21.6" customHeight="1">
      <c r="U34" s="57"/>
      <c r="V34" s="57"/>
      <c r="W34" s="57"/>
      <c r="X34" s="57"/>
    </row>
    <row r="35" spans="21:24" ht="21.6" customHeight="1">
      <c r="U35" s="57"/>
      <c r="V35" s="57"/>
      <c r="W35" s="57"/>
      <c r="X35" s="57"/>
    </row>
    <row r="36" spans="21:24" ht="21.6" customHeight="1">
      <c r="U36" s="57"/>
      <c r="V36" s="57"/>
      <c r="W36" s="57"/>
      <c r="X36" s="57"/>
    </row>
    <row r="37" spans="21:24" ht="21.6" customHeight="1">
      <c r="U37" s="57"/>
      <c r="V37" s="57"/>
      <c r="W37" s="57"/>
      <c r="X37" s="57"/>
    </row>
    <row r="38" spans="21:24" ht="21.6" customHeight="1">
      <c r="U38" s="57"/>
      <c r="V38" s="57"/>
      <c r="W38" s="57"/>
      <c r="X38" s="57"/>
    </row>
    <row r="39" spans="21:24" ht="21.6" customHeight="1">
      <c r="U39" s="57"/>
      <c r="V39" s="57"/>
      <c r="W39" s="57"/>
      <c r="X39" s="57"/>
    </row>
    <row r="40" spans="21:24" ht="21.6" customHeight="1">
      <c r="U40" s="57"/>
      <c r="V40" s="57"/>
      <c r="W40" s="57"/>
      <c r="X40" s="57"/>
    </row>
    <row r="41" spans="21:24" ht="21.6" customHeight="1">
      <c r="U41" s="57"/>
      <c r="V41" s="57"/>
      <c r="W41" s="57"/>
      <c r="X41" s="57"/>
    </row>
    <row r="42" spans="21:24" ht="21.6" customHeight="1">
      <c r="U42" s="57"/>
      <c r="V42" s="57"/>
      <c r="W42" s="57"/>
      <c r="X42" s="57"/>
    </row>
    <row r="43" spans="21:24" ht="21.6" customHeight="1">
      <c r="U43" s="57"/>
      <c r="V43" s="57"/>
      <c r="W43" s="57"/>
      <c r="X43" s="57"/>
    </row>
    <row r="44" spans="21:24" ht="21.6" customHeight="1">
      <c r="U44" s="57"/>
      <c r="V44" s="57"/>
      <c r="W44" s="57"/>
      <c r="X44" s="57"/>
    </row>
    <row r="45" spans="21:24" ht="21.6" customHeight="1">
      <c r="U45" s="57"/>
      <c r="V45" s="57"/>
      <c r="W45" s="57"/>
      <c r="X45" s="57"/>
    </row>
    <row r="46" spans="21:24" ht="21.6" customHeight="1">
      <c r="U46" s="57"/>
      <c r="V46" s="57"/>
      <c r="W46" s="57"/>
      <c r="X46" s="57"/>
    </row>
    <row r="47" spans="21:24" ht="21.6" customHeight="1">
      <c r="U47" s="57"/>
      <c r="V47" s="57"/>
      <c r="W47" s="57"/>
      <c r="X47" s="57"/>
    </row>
    <row r="48" spans="21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</sheetData>
  <mergeCells count="22"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  <mergeCell ref="G10:H10"/>
    <mergeCell ref="O7:P7"/>
    <mergeCell ref="U7:V7"/>
    <mergeCell ref="C8:D8"/>
    <mergeCell ref="G8:H8"/>
    <mergeCell ref="C9:D9"/>
  </mergeCells>
  <conditionalFormatting sqref="B4:C5 C6:C10 B7:B10">
    <cfRule type="expression" dxfId="170" priority="10">
      <formula>$B4="Resultado Líquido"</formula>
    </cfRule>
    <cfRule type="expression" dxfId="169" priority="11">
      <formula>OR($B4="Faturação",$B4="Despesas")</formula>
    </cfRule>
  </conditionalFormatting>
  <conditionalFormatting sqref="B11:C12">
    <cfRule type="expression" dxfId="168" priority="12">
      <formula>$B11="Resultado Líquido"</formula>
    </cfRule>
    <cfRule type="expression" dxfId="167" priority="13">
      <formula>OR($B11="Faturação",$B11="Despesas")</formula>
    </cfRule>
  </conditionalFormatting>
  <conditionalFormatting sqref="B23:M25 B26:C26 E26:M26 B27:M27 B28:C28 E28:M28 B29:M1048576">
    <cfRule type="expression" dxfId="166" priority="21">
      <formula>$B23="Total"</formula>
    </cfRule>
  </conditionalFormatting>
  <conditionalFormatting sqref="D17">
    <cfRule type="expression" dxfId="165" priority="3">
      <formula>$B17="Total"</formula>
    </cfRule>
  </conditionalFormatting>
  <conditionalFormatting sqref="D26">
    <cfRule type="expression" dxfId="164" priority="2">
      <formula>$B26="Total"</formula>
    </cfRule>
  </conditionalFormatting>
  <conditionalFormatting sqref="D28">
    <cfRule type="expression" dxfId="163" priority="1">
      <formula>$B28="Total"</formula>
    </cfRule>
  </conditionalFormatting>
  <conditionalFormatting sqref="G5:G8">
    <cfRule type="expression" dxfId="162" priority="6">
      <formula>$B5="Resultado Líquido"</formula>
    </cfRule>
    <cfRule type="expression" dxfId="161" priority="7">
      <formula>OR($B5="Faturação",$B5="Despesas")</formula>
    </cfRule>
  </conditionalFormatting>
  <conditionalFormatting sqref="G10">
    <cfRule type="expression" dxfId="160" priority="4">
      <formula>$B10="Resultado Líquido"</formula>
    </cfRule>
    <cfRule type="expression" dxfId="159" priority="5">
      <formula>OR($B10="Faturação",$B10="Despesas")</formula>
    </cfRule>
  </conditionalFormatting>
  <conditionalFormatting sqref="O23:O24">
    <cfRule type="expression" dxfId="158" priority="22">
      <formula>#REF!="Total"</formula>
    </cfRule>
  </conditionalFormatting>
  <conditionalFormatting sqref="P15:Y1048576">
    <cfRule type="expression" dxfId="157" priority="20">
      <formula>$P15="Total"</formula>
    </cfRule>
  </conditionalFormatting>
  <dataValidations count="9">
    <dataValidation type="list" allowBlank="1" showInputMessage="1" showErrorMessage="1" sqref="T16:T23" xr:uid="{0D3397C3-3F6A-4754-9F08-05D115B4EF49}">
      <formula1>Filtro_Desp</formula1>
    </dataValidation>
    <dataValidation type="list" allowBlank="1" showInputMessage="1" showErrorMessage="1" sqref="X16:X23" xr:uid="{1D6B0E70-9552-4394-83E3-2566D7CBF24C}">
      <formula1>"Pago,Pendente,Vencido"</formula1>
    </dataValidation>
    <dataValidation type="list" allowBlank="1" showErrorMessage="1" sqref="M16:M31" xr:uid="{66D8D45F-7348-4419-829D-C8EB7F243308}">
      <formula1>"Pago,Pendente,Vencido"</formula1>
    </dataValidation>
    <dataValidation type="list" allowBlank="1" showInputMessage="1" showErrorMessage="1" sqref="E16:E31" xr:uid="{F9E22D98-1992-4D81-A8C1-8C602F07EF51}">
      <formula1>"Produtos,Serviços"</formula1>
    </dataValidation>
    <dataValidation type="whole" allowBlank="1" showInputMessage="1" showErrorMessage="1" sqref="R16:R23 D16:D31" xr:uid="{0D0A8177-AF96-49D1-8F48-3AF884F9A7B8}">
      <formula1>0</formula1>
      <formula2>999999999</formula2>
    </dataValidation>
    <dataValidation type="list" allowBlank="1" showErrorMessage="1" sqref="N16:N31" xr:uid="{2B9FB2AA-D260-4DD6-B123-B85079368E35}">
      <formula1>Filtro_Pag</formula1>
    </dataValidation>
    <dataValidation type="date" allowBlank="1" showInputMessage="1" showErrorMessage="1" sqref="P16:P23 B16:B31" xr:uid="{E41E6987-E0BE-495A-BD5E-9D5800718CEC}">
      <formula1>43831</formula1>
      <formula2>73050</formula2>
    </dataValidation>
    <dataValidation type="list" allowBlank="1" showInputMessage="1" showErrorMessage="1" sqref="Y16:Y23" xr:uid="{5F3C6D24-6DEF-4D7C-9D97-7F06C292364D}">
      <formula1>Filtro_Pag</formula1>
    </dataValidation>
    <dataValidation type="list" allowBlank="1" showInputMessage="1" showErrorMessage="1" sqref="F16:F31" xr:uid="{D2369BA9-16D0-45C7-AADD-100FD8DB8B20}">
      <formula1>INDIRECT($E16)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ADB7-4F48-420F-A086-E303560CECB4}">
  <sheetPr codeName="Folha7"/>
  <dimension ref="A1:TX989"/>
  <sheetViews>
    <sheetView showGridLines="0" zoomScale="60" zoomScaleNormal="60" workbookViewId="0">
      <selection activeCell="F23" sqref="F23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16.4414062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9" width="16.6640625" style="32" customWidth="1"/>
    <col min="10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8" style="30" customWidth="1"/>
    <col min="18" max="18" width="14.6640625" style="59" customWidth="1"/>
    <col min="19" max="19" width="15.44140625" style="30" customWidth="1"/>
    <col min="20" max="20" width="16.33203125" style="30" customWidth="1"/>
    <col min="21" max="24" width="12.44140625" style="32" customWidth="1"/>
    <col min="25" max="25" width="2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96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97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/>
      <c r="TS2" s="127"/>
      <c r="TT2" s="127"/>
      <c r="TU2" s="127"/>
      <c r="TV2" s="127"/>
      <c r="TW2" s="127"/>
      <c r="TX2" s="127"/>
    </row>
    <row r="3" spans="1:544" ht="36.9" customHeight="1">
      <c r="C3" s="233" t="s">
        <v>98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1360.5</v>
      </c>
      <c r="G5" s="235" t="s">
        <v>71</v>
      </c>
      <c r="H5" s="235"/>
      <c r="I5" s="166">
        <f ca="1">SUM(I6:I8)</f>
        <v>578.75</v>
      </c>
      <c r="J5" s="31"/>
      <c r="K5" s="31"/>
      <c r="L5" s="170" t="s">
        <v>72</v>
      </c>
      <c r="M5" s="171">
        <f>+L14</f>
        <v>1360.5</v>
      </c>
      <c r="N5" s="168" t="s">
        <v>73</v>
      </c>
      <c r="O5" s="231">
        <f ca="1">+SUMIF(M16:M2599,"Pago",L16:L2499)</f>
        <v>1360.5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460</v>
      </c>
      <c r="F6" s="30"/>
      <c r="G6" s="234" t="s">
        <v>6</v>
      </c>
      <c r="H6" s="234"/>
      <c r="I6" s="167">
        <f ca="1">+SUMIF(T16:T199994,G6,U16:U4994)</f>
        <v>0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192.5</v>
      </c>
      <c r="F7" s="30"/>
      <c r="G7" s="234" t="s">
        <v>5</v>
      </c>
      <c r="H7" s="234"/>
      <c r="I7" s="167">
        <f ca="1">+SUMIF(T16:T199994,G7,U16:U4994)</f>
        <v>578.75</v>
      </c>
      <c r="J7" s="32"/>
      <c r="K7" s="32"/>
      <c r="L7" s="170" t="s">
        <v>4</v>
      </c>
      <c r="M7" s="171">
        <f>+W14</f>
        <v>582.78</v>
      </c>
      <c r="N7" s="168" t="s">
        <v>75</v>
      </c>
      <c r="O7" s="231">
        <f ca="1">+SUMIF(X16:X2599,"Pago",W16:W2499)</f>
        <v>582.78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708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781.75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+SUM(Fat_Mar[Base])</f>
        <v>1360.5</v>
      </c>
      <c r="J14" s="52">
        <f>+SUM(Fat_Mar[[IVA ]])</f>
        <v>0</v>
      </c>
      <c r="K14" s="52">
        <f>+SUM(Fat_Mar[Retenção])</f>
        <v>0</v>
      </c>
      <c r="L14" s="52">
        <f>+SUM(Fat_Mar[Total])</f>
        <v>1360.5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+SUM(Desp_Mar[Base])</f>
        <v>579.33000000000004</v>
      </c>
      <c r="V14" s="52">
        <f>SUM(Desp_Mar[[IVA ]])</f>
        <v>3.45</v>
      </c>
      <c r="W14" s="52">
        <f>SUM(Desp_Mar[Total])</f>
        <v>582.78</v>
      </c>
      <c r="X14" s="133"/>
      <c r="Y14" s="133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60">
        <v>45726</v>
      </c>
      <c r="C16" s="211" t="s">
        <v>224</v>
      </c>
      <c r="D16" s="59">
        <v>0</v>
      </c>
      <c r="E16" s="30" t="s">
        <v>8</v>
      </c>
      <c r="F16" s="30" t="s">
        <v>200</v>
      </c>
      <c r="H16" s="30">
        <v>1</v>
      </c>
      <c r="I16" s="32">
        <v>38.5</v>
      </c>
      <c r="J16" s="32">
        <v>0</v>
      </c>
      <c r="K16" s="126">
        <v>0</v>
      </c>
      <c r="L16" s="32">
        <f>+I16+J16-K16</f>
        <v>38.5</v>
      </c>
      <c r="M16" s="30" t="s">
        <v>75</v>
      </c>
      <c r="N16" s="30" t="s">
        <v>18</v>
      </c>
      <c r="O16" s="29"/>
      <c r="P16" s="60">
        <v>45718</v>
      </c>
      <c r="Q16" s="211" t="s">
        <v>212</v>
      </c>
      <c r="T16" s="30" t="s">
        <v>5</v>
      </c>
      <c r="U16" s="32">
        <v>280</v>
      </c>
      <c r="V16" s="32">
        <v>0</v>
      </c>
      <c r="W16" s="32">
        <v>280</v>
      </c>
      <c r="X16" s="32" t="s">
        <v>75</v>
      </c>
      <c r="Y16" s="138" t="s">
        <v>15</v>
      </c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60">
        <v>45729</v>
      </c>
      <c r="C17" s="211" t="s">
        <v>230</v>
      </c>
      <c r="D17" s="59">
        <v>280321244</v>
      </c>
      <c r="E17" s="30" t="s">
        <v>8</v>
      </c>
      <c r="F17" s="30" t="s">
        <v>199</v>
      </c>
      <c r="G17" s="30">
        <v>16</v>
      </c>
      <c r="H17" s="30">
        <v>1</v>
      </c>
      <c r="I17" s="32">
        <v>85</v>
      </c>
      <c r="J17" s="32">
        <v>0</v>
      </c>
      <c r="K17" s="126">
        <v>0</v>
      </c>
      <c r="L17" s="32">
        <f t="shared" ref="L17:L18" si="0">+I17+J17-K17</f>
        <v>85</v>
      </c>
      <c r="M17" s="30" t="s">
        <v>75</v>
      </c>
      <c r="N17" s="30" t="s">
        <v>20</v>
      </c>
      <c r="O17" s="29"/>
      <c r="P17" s="60">
        <v>45747</v>
      </c>
      <c r="Q17" s="211" t="s">
        <v>237</v>
      </c>
      <c r="T17" s="30" t="s">
        <v>5</v>
      </c>
      <c r="U17" s="32">
        <v>100</v>
      </c>
      <c r="V17" s="32">
        <v>0</v>
      </c>
      <c r="W17" s="32">
        <f>+Desp_Mar[[#This Row],[Base]]+Desp_Mar[[#This Row],[IVA ]]</f>
        <v>100</v>
      </c>
      <c r="X17" s="32" t="s">
        <v>75</v>
      </c>
      <c r="Y17" s="138" t="s">
        <v>15</v>
      </c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60">
        <v>45733</v>
      </c>
      <c r="C18" s="211" t="s">
        <v>224</v>
      </c>
      <c r="D18" s="59">
        <v>0</v>
      </c>
      <c r="E18" s="30" t="s">
        <v>8</v>
      </c>
      <c r="F18" s="30" t="s">
        <v>200</v>
      </c>
      <c r="H18" s="30">
        <v>1</v>
      </c>
      <c r="I18" s="32">
        <v>38.5</v>
      </c>
      <c r="J18" s="32">
        <v>0</v>
      </c>
      <c r="K18" s="126">
        <v>0</v>
      </c>
      <c r="L18" s="32">
        <f t="shared" si="0"/>
        <v>38.5</v>
      </c>
      <c r="M18" s="30" t="s">
        <v>75</v>
      </c>
      <c r="N18" s="30" t="s">
        <v>18</v>
      </c>
      <c r="O18" s="29"/>
      <c r="P18" s="60">
        <v>45722</v>
      </c>
      <c r="Q18" s="211" t="s">
        <v>213</v>
      </c>
      <c r="T18" s="30" t="s">
        <v>5</v>
      </c>
      <c r="U18" s="32">
        <v>15</v>
      </c>
      <c r="V18" s="32">
        <f>+Desp_Mar[[#This Row],[Base]]*0.23</f>
        <v>3.45</v>
      </c>
      <c r="W18" s="32">
        <f>+Desp_Mar[[#This Row],[Base]]+Desp_Mar[[#This Row],[IVA ]]</f>
        <v>18.45</v>
      </c>
      <c r="X18" s="32" t="s">
        <v>75</v>
      </c>
      <c r="Y18" s="138" t="s">
        <v>214</v>
      </c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60">
        <v>45730</v>
      </c>
      <c r="C19" s="211" t="s">
        <v>231</v>
      </c>
      <c r="D19" s="59">
        <v>0</v>
      </c>
      <c r="E19" s="30" t="s">
        <v>8</v>
      </c>
      <c r="F19" s="30" t="s">
        <v>199</v>
      </c>
      <c r="H19" s="30">
        <v>1</v>
      </c>
      <c r="I19" s="32">
        <v>65</v>
      </c>
      <c r="J19" s="32">
        <v>0</v>
      </c>
      <c r="K19" s="126">
        <v>0</v>
      </c>
      <c r="L19" s="32">
        <f t="shared" ref="L19:L28" si="1">+I19+J19-K19</f>
        <v>65</v>
      </c>
      <c r="M19" s="30" t="s">
        <v>75</v>
      </c>
      <c r="N19" s="30" t="s">
        <v>18</v>
      </c>
      <c r="O19" s="29"/>
      <c r="P19" s="60">
        <v>45747</v>
      </c>
      <c r="Q19" s="211" t="s">
        <v>228</v>
      </c>
      <c r="T19" s="30" t="s">
        <v>5</v>
      </c>
      <c r="U19" s="32">
        <v>97.87</v>
      </c>
      <c r="V19" s="32">
        <v>0</v>
      </c>
      <c r="W19" s="32">
        <f>+Desp_Mar[[#This Row],[Base]]+Desp_Mar[[#This Row],[IVA ]]</f>
        <v>97.87</v>
      </c>
      <c r="X19" s="32" t="s">
        <v>75</v>
      </c>
      <c r="Y19" s="30" t="s">
        <v>214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60">
        <v>45731</v>
      </c>
      <c r="C20" s="211" t="s">
        <v>232</v>
      </c>
      <c r="D20" s="59">
        <v>0</v>
      </c>
      <c r="E20" s="30" t="s">
        <v>8</v>
      </c>
      <c r="F20" s="30" t="s">
        <v>199</v>
      </c>
      <c r="H20" s="30">
        <v>1</v>
      </c>
      <c r="I20" s="32">
        <v>75</v>
      </c>
      <c r="J20" s="32">
        <v>0</v>
      </c>
      <c r="K20" s="126">
        <v>0</v>
      </c>
      <c r="L20" s="32">
        <f t="shared" si="1"/>
        <v>75</v>
      </c>
      <c r="M20" s="30" t="s">
        <v>75</v>
      </c>
      <c r="N20" s="30" t="s">
        <v>18</v>
      </c>
      <c r="O20" s="29"/>
      <c r="P20" s="60">
        <v>45727</v>
      </c>
      <c r="Q20" s="211" t="s">
        <v>47</v>
      </c>
      <c r="T20" s="30" t="s">
        <v>5</v>
      </c>
      <c r="U20" s="32">
        <v>20</v>
      </c>
      <c r="V20" s="32">
        <v>0</v>
      </c>
      <c r="W20" s="32">
        <f>+Desp_Mar[[#This Row],[Base]]+Desp_Mar[[#This Row],[IVA ]]</f>
        <v>20</v>
      </c>
      <c r="X20" s="32" t="s">
        <v>75</v>
      </c>
      <c r="Y20" s="30" t="s">
        <v>15</v>
      </c>
    </row>
    <row r="21" spans="2:544" ht="21.6" customHeight="1">
      <c r="B21" s="60">
        <v>45738</v>
      </c>
      <c r="C21" s="211" t="s">
        <v>233</v>
      </c>
      <c r="D21" s="59">
        <v>192490834</v>
      </c>
      <c r="E21" s="30" t="s">
        <v>8</v>
      </c>
      <c r="F21" s="30" t="s">
        <v>199</v>
      </c>
      <c r="G21" s="30">
        <v>19</v>
      </c>
      <c r="H21" s="30">
        <v>1</v>
      </c>
      <c r="I21" s="32">
        <v>85</v>
      </c>
      <c r="J21" s="32">
        <v>0</v>
      </c>
      <c r="K21" s="126">
        <v>0</v>
      </c>
      <c r="L21" s="32">
        <f t="shared" si="1"/>
        <v>85</v>
      </c>
      <c r="M21" s="30" t="s">
        <v>75</v>
      </c>
      <c r="N21" s="30" t="s">
        <v>20</v>
      </c>
      <c r="O21" s="29"/>
      <c r="P21" s="60">
        <v>45737</v>
      </c>
      <c r="Q21" s="211" t="s">
        <v>226</v>
      </c>
      <c r="T21" s="30" t="s">
        <v>5</v>
      </c>
      <c r="U21" s="32">
        <v>47.35</v>
      </c>
      <c r="V21" s="32">
        <v>0</v>
      </c>
      <c r="W21" s="32">
        <f>+Desp_Mar[[#This Row],[Base]]+Desp_Mar[[#This Row],[IVA ]]</f>
        <v>47.35</v>
      </c>
      <c r="X21" s="32" t="s">
        <v>75</v>
      </c>
      <c r="Y21" s="30" t="s">
        <v>15</v>
      </c>
    </row>
    <row r="22" spans="2:544" ht="21.6" customHeight="1">
      <c r="B22" s="60">
        <v>45744</v>
      </c>
      <c r="C22" s="211" t="s">
        <v>208</v>
      </c>
      <c r="D22" s="125">
        <v>285231022</v>
      </c>
      <c r="E22" s="30" t="s">
        <v>8</v>
      </c>
      <c r="F22" s="30" t="s">
        <v>201</v>
      </c>
      <c r="G22" s="211" t="s">
        <v>234</v>
      </c>
      <c r="H22" s="30">
        <v>1</v>
      </c>
      <c r="I22" s="32">
        <v>400</v>
      </c>
      <c r="J22" s="32">
        <v>0</v>
      </c>
      <c r="K22" s="126">
        <v>0</v>
      </c>
      <c r="L22" s="32">
        <f t="shared" si="1"/>
        <v>400</v>
      </c>
      <c r="M22" s="30" t="s">
        <v>75</v>
      </c>
      <c r="N22" s="30" t="s">
        <v>18</v>
      </c>
      <c r="O22" s="29"/>
      <c r="P22" s="60">
        <v>45741</v>
      </c>
      <c r="Q22" s="211" t="s">
        <v>227</v>
      </c>
      <c r="T22" s="30" t="s">
        <v>5</v>
      </c>
      <c r="U22" s="32">
        <v>18.53</v>
      </c>
      <c r="V22" s="32">
        <v>0</v>
      </c>
      <c r="W22" s="32">
        <f>+Desp_Mar[[#This Row],[Base]]+Desp_Mar[[#This Row],[IVA ]]</f>
        <v>18.53</v>
      </c>
      <c r="X22" s="32" t="s">
        <v>75</v>
      </c>
      <c r="Y22" s="30" t="s">
        <v>214</v>
      </c>
    </row>
    <row r="23" spans="2:544" ht="21.6" customHeight="1">
      <c r="B23" s="60">
        <v>45737</v>
      </c>
      <c r="C23" s="211" t="s">
        <v>235</v>
      </c>
      <c r="D23" s="59">
        <v>0</v>
      </c>
      <c r="E23" s="30" t="s">
        <v>8</v>
      </c>
      <c r="F23" s="30" t="s">
        <v>199</v>
      </c>
      <c r="H23" s="30">
        <v>1</v>
      </c>
      <c r="I23" s="32">
        <v>65</v>
      </c>
      <c r="J23" s="32">
        <v>0</v>
      </c>
      <c r="K23" s="32">
        <v>0</v>
      </c>
      <c r="L23" s="32">
        <f t="shared" si="1"/>
        <v>65</v>
      </c>
      <c r="M23" s="30" t="s">
        <v>75</v>
      </c>
      <c r="N23" s="30" t="s">
        <v>18</v>
      </c>
      <c r="O23" s="29"/>
      <c r="P23" s="60">
        <v>45741</v>
      </c>
      <c r="Q23" s="211" t="s">
        <v>238</v>
      </c>
      <c r="U23" s="32">
        <v>0.57999999999999996</v>
      </c>
      <c r="V23" s="32">
        <v>0</v>
      </c>
      <c r="W23" s="32">
        <f>+Desp_Mar[[#This Row],[Base]]+Desp_Mar[[#This Row],[IVA ]]</f>
        <v>0.57999999999999996</v>
      </c>
      <c r="X23" s="32" t="s">
        <v>75</v>
      </c>
      <c r="Y23" s="30" t="s">
        <v>214</v>
      </c>
    </row>
    <row r="24" spans="2:544" ht="21.6" customHeight="1">
      <c r="B24" s="60">
        <v>45741</v>
      </c>
      <c r="C24" s="211" t="s">
        <v>231</v>
      </c>
      <c r="D24" s="59">
        <v>0</v>
      </c>
      <c r="E24" s="30" t="s">
        <v>8</v>
      </c>
      <c r="F24" s="30" t="s">
        <v>201</v>
      </c>
      <c r="H24" s="30">
        <v>1</v>
      </c>
      <c r="I24" s="32">
        <v>308</v>
      </c>
      <c r="J24" s="32">
        <v>0</v>
      </c>
      <c r="K24" s="32">
        <v>0</v>
      </c>
      <c r="L24" s="32">
        <f t="shared" si="1"/>
        <v>308</v>
      </c>
      <c r="M24" s="30" t="s">
        <v>75</v>
      </c>
      <c r="N24" s="30" t="s">
        <v>18</v>
      </c>
      <c r="O24" s="29"/>
    </row>
    <row r="25" spans="2:544" ht="21.6" customHeight="1">
      <c r="B25" s="60">
        <v>45736</v>
      </c>
      <c r="C25" s="211" t="s">
        <v>224</v>
      </c>
      <c r="D25" s="59">
        <v>0</v>
      </c>
      <c r="E25" s="30" t="s">
        <v>8</v>
      </c>
      <c r="F25" s="30" t="s">
        <v>200</v>
      </c>
      <c r="H25" s="30">
        <v>1</v>
      </c>
      <c r="I25" s="32">
        <v>38.5</v>
      </c>
      <c r="J25" s="32">
        <v>0</v>
      </c>
      <c r="K25" s="32">
        <v>0</v>
      </c>
      <c r="L25" s="32">
        <f t="shared" si="1"/>
        <v>38.5</v>
      </c>
      <c r="M25" s="30" t="s">
        <v>75</v>
      </c>
      <c r="N25" s="30" t="s">
        <v>18</v>
      </c>
      <c r="U25" s="57"/>
      <c r="V25" s="57"/>
      <c r="W25" s="57"/>
      <c r="X25" s="57"/>
    </row>
    <row r="26" spans="2:544" ht="21.6" customHeight="1">
      <c r="B26" s="60">
        <v>45742</v>
      </c>
      <c r="C26" s="211" t="s">
        <v>224</v>
      </c>
      <c r="D26" s="59">
        <v>0</v>
      </c>
      <c r="E26" s="30" t="s">
        <v>8</v>
      </c>
      <c r="F26" s="30" t="s">
        <v>200</v>
      </c>
      <c r="H26" s="30">
        <v>1</v>
      </c>
      <c r="I26" s="32">
        <v>38.5</v>
      </c>
      <c r="J26" s="32">
        <v>0</v>
      </c>
      <c r="K26" s="32">
        <v>0</v>
      </c>
      <c r="L26" s="32">
        <f t="shared" si="1"/>
        <v>38.5</v>
      </c>
      <c r="M26" s="30" t="s">
        <v>75</v>
      </c>
      <c r="N26" s="30" t="s">
        <v>18</v>
      </c>
      <c r="U26" s="57"/>
      <c r="V26" s="57"/>
      <c r="W26" s="57"/>
      <c r="X26" s="57"/>
    </row>
    <row r="27" spans="2:544" ht="21.6" customHeight="1">
      <c r="B27" s="60">
        <v>45747</v>
      </c>
      <c r="C27" s="211" t="s">
        <v>224</v>
      </c>
      <c r="D27" s="59">
        <v>0</v>
      </c>
      <c r="E27" s="30" t="s">
        <v>8</v>
      </c>
      <c r="F27" s="30" t="s">
        <v>200</v>
      </c>
      <c r="H27" s="30">
        <v>1</v>
      </c>
      <c r="I27" s="32">
        <v>38.5</v>
      </c>
      <c r="J27" s="32">
        <v>0</v>
      </c>
      <c r="K27" s="32">
        <v>0</v>
      </c>
      <c r="L27" s="32">
        <f t="shared" si="1"/>
        <v>38.5</v>
      </c>
      <c r="M27" s="30" t="s">
        <v>75</v>
      </c>
      <c r="N27" s="30" t="s">
        <v>18</v>
      </c>
      <c r="U27" s="57"/>
      <c r="V27" s="57"/>
      <c r="W27" s="57"/>
      <c r="X27" s="57"/>
    </row>
    <row r="28" spans="2:544" ht="21.6" customHeight="1">
      <c r="B28" s="60">
        <v>45744</v>
      </c>
      <c r="C28" s="211" t="s">
        <v>236</v>
      </c>
      <c r="D28" s="59">
        <v>308014448</v>
      </c>
      <c r="E28" s="30" t="s">
        <v>8</v>
      </c>
      <c r="F28" s="30" t="s">
        <v>199</v>
      </c>
      <c r="G28" s="30">
        <v>18</v>
      </c>
      <c r="H28" s="30">
        <v>1</v>
      </c>
      <c r="I28" s="32">
        <v>85</v>
      </c>
      <c r="J28" s="32">
        <v>0</v>
      </c>
      <c r="K28" s="32">
        <v>0</v>
      </c>
      <c r="L28" s="32">
        <f t="shared" si="1"/>
        <v>85</v>
      </c>
      <c r="M28" s="30" t="s">
        <v>75</v>
      </c>
      <c r="N28" s="30" t="s">
        <v>20</v>
      </c>
      <c r="U28" s="57"/>
      <c r="V28" s="57"/>
      <c r="W28" s="57"/>
      <c r="X28" s="57"/>
    </row>
    <row r="29" spans="2:544" ht="21.6" customHeight="1">
      <c r="U29" s="57"/>
      <c r="V29" s="57"/>
      <c r="W29" s="57"/>
      <c r="X29" s="57"/>
    </row>
    <row r="30" spans="2:544" ht="21.6" customHeight="1">
      <c r="U30" s="57"/>
      <c r="V30" s="57"/>
      <c r="W30" s="57"/>
      <c r="X30" s="57"/>
    </row>
    <row r="31" spans="2:544" ht="21.6" customHeight="1">
      <c r="U31" s="57"/>
      <c r="V31" s="57"/>
      <c r="W31" s="57"/>
      <c r="X31" s="57"/>
    </row>
    <row r="32" spans="2:544" ht="21.6" customHeight="1">
      <c r="U32" s="57"/>
      <c r="V32" s="57"/>
      <c r="W32" s="57"/>
      <c r="X32" s="57"/>
    </row>
    <row r="33" spans="21:24" ht="21.6" customHeight="1">
      <c r="U33" s="57"/>
      <c r="V33" s="57"/>
      <c r="W33" s="57"/>
      <c r="X33" s="57"/>
    </row>
    <row r="34" spans="21:24" ht="21.6" customHeight="1">
      <c r="U34" s="57"/>
      <c r="V34" s="57"/>
      <c r="W34" s="57"/>
      <c r="X34" s="57"/>
    </row>
    <row r="35" spans="21:24" ht="21.6" customHeight="1">
      <c r="U35" s="57"/>
      <c r="V35" s="57"/>
      <c r="W35" s="57"/>
      <c r="X35" s="57"/>
    </row>
    <row r="36" spans="21:24" ht="21.6" customHeight="1">
      <c r="U36" s="57"/>
      <c r="V36" s="57"/>
      <c r="W36" s="57"/>
      <c r="X36" s="57"/>
    </row>
    <row r="37" spans="21:24" ht="21.6" customHeight="1">
      <c r="U37" s="57"/>
      <c r="V37" s="57"/>
      <c r="W37" s="57"/>
      <c r="X37" s="57"/>
    </row>
    <row r="38" spans="21:24" ht="21.6" customHeight="1">
      <c r="U38" s="57"/>
      <c r="V38" s="57"/>
      <c r="W38" s="57"/>
      <c r="X38" s="57"/>
    </row>
    <row r="39" spans="21:24" ht="21.6" customHeight="1">
      <c r="U39" s="57"/>
      <c r="V39" s="57"/>
      <c r="W39" s="57"/>
      <c r="X39" s="57"/>
    </row>
    <row r="40" spans="21:24" ht="21.6" customHeight="1">
      <c r="U40" s="57"/>
      <c r="V40" s="57"/>
      <c r="W40" s="57"/>
      <c r="X40" s="57"/>
    </row>
    <row r="41" spans="21:24" ht="21.6" customHeight="1">
      <c r="U41" s="57"/>
      <c r="V41" s="57"/>
      <c r="W41" s="57"/>
      <c r="X41" s="57"/>
    </row>
    <row r="42" spans="21:24" ht="21.6" customHeight="1">
      <c r="U42" s="57"/>
      <c r="V42" s="57"/>
      <c r="W42" s="57"/>
      <c r="X42" s="57"/>
    </row>
    <row r="43" spans="21:24" ht="21.6" customHeight="1">
      <c r="U43" s="57"/>
      <c r="V43" s="57"/>
      <c r="W43" s="57"/>
      <c r="X43" s="57"/>
    </row>
    <row r="44" spans="21:24" ht="21.6" customHeight="1">
      <c r="U44" s="57"/>
      <c r="V44" s="57"/>
      <c r="W44" s="57"/>
      <c r="X44" s="57"/>
    </row>
    <row r="45" spans="21:24" ht="21.6" customHeight="1">
      <c r="U45" s="57"/>
      <c r="V45" s="57"/>
      <c r="W45" s="57"/>
      <c r="X45" s="57"/>
    </row>
    <row r="46" spans="21:24" ht="21.6" customHeight="1">
      <c r="U46" s="57"/>
      <c r="V46" s="57"/>
      <c r="W46" s="57"/>
      <c r="X46" s="57"/>
    </row>
    <row r="47" spans="21:24" ht="21.6" customHeight="1">
      <c r="U47" s="57"/>
      <c r="V47" s="57"/>
      <c r="W47" s="57"/>
      <c r="X47" s="57"/>
    </row>
    <row r="48" spans="21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</sheetData>
  <mergeCells count="22"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  <mergeCell ref="G10:H10"/>
    <mergeCell ref="O7:P7"/>
    <mergeCell ref="U7:V7"/>
    <mergeCell ref="C8:D8"/>
    <mergeCell ref="G8:H8"/>
    <mergeCell ref="C9:D9"/>
  </mergeCells>
  <conditionalFormatting sqref="B4:C5 C6:C10 B7:B10">
    <cfRule type="expression" dxfId="156" priority="8">
      <formula>$B4="Resultado Líquido"</formula>
    </cfRule>
    <cfRule type="expression" dxfId="155" priority="9">
      <formula>OR($B4="Faturação",$B4="Despesas")</formula>
    </cfRule>
  </conditionalFormatting>
  <conditionalFormatting sqref="B11:C12">
    <cfRule type="expression" dxfId="154" priority="10">
      <formula>$B11="Resultado Líquido"</formula>
    </cfRule>
    <cfRule type="expression" dxfId="153" priority="11">
      <formula>OR($B11="Faturação",$B11="Despesas")</formula>
    </cfRule>
  </conditionalFormatting>
  <conditionalFormatting sqref="B23:M1048576">
    <cfRule type="expression" dxfId="152" priority="17">
      <formula>$B23="Total"</formula>
    </cfRule>
  </conditionalFormatting>
  <conditionalFormatting sqref="D22">
    <cfRule type="expression" dxfId="151" priority="1">
      <formula>$B22="Total"</formula>
    </cfRule>
  </conditionalFormatting>
  <conditionalFormatting sqref="G5:G8">
    <cfRule type="expression" dxfId="150" priority="4">
      <formula>$B5="Resultado Líquido"</formula>
    </cfRule>
    <cfRule type="expression" dxfId="149" priority="5">
      <formula>OR($B5="Faturação",$B5="Despesas")</formula>
    </cfRule>
  </conditionalFormatting>
  <conditionalFormatting sqref="G10">
    <cfRule type="expression" dxfId="148" priority="2">
      <formula>$B10="Resultado Líquido"</formula>
    </cfRule>
    <cfRule type="expression" dxfId="147" priority="3">
      <formula>OR($B10="Faturação",$B10="Despesas")</formula>
    </cfRule>
  </conditionalFormatting>
  <conditionalFormatting sqref="O23:O24">
    <cfRule type="expression" dxfId="146" priority="18">
      <formula>#REF!="Total"</formula>
    </cfRule>
  </conditionalFormatting>
  <conditionalFormatting sqref="P15:Y1048576">
    <cfRule type="expression" dxfId="145" priority="16">
      <formula>$P15="Total"</formula>
    </cfRule>
  </conditionalFormatting>
  <dataValidations count="9">
    <dataValidation type="list" allowBlank="1" showInputMessage="1" showErrorMessage="1" sqref="T16:T23" xr:uid="{AD8D400D-8C0F-4FA1-B3D5-51EC07E8EF19}">
      <formula1>Filtro_Desp</formula1>
    </dataValidation>
    <dataValidation type="list" allowBlank="1" showInputMessage="1" showErrorMessage="1" sqref="X16:X23" xr:uid="{2DE4573A-B018-4369-B0EC-53D448A8257B}">
      <formula1>"Pago,Pendente,Vencido"</formula1>
    </dataValidation>
    <dataValidation type="list" allowBlank="1" showErrorMessage="1" sqref="M16:M28" xr:uid="{493C73BC-EE5D-40EE-AD9D-2B4AFF73C7DE}">
      <formula1>"Pago,Pendente,Vencido"</formula1>
    </dataValidation>
    <dataValidation type="list" allowBlank="1" showInputMessage="1" showErrorMessage="1" sqref="E16:E28" xr:uid="{0485BD5D-5B1F-40E5-BD11-FBD27A226F8C}">
      <formula1>"Produtos,Serviços"</formula1>
    </dataValidation>
    <dataValidation type="whole" allowBlank="1" showInputMessage="1" showErrorMessage="1" sqref="R16:R23 D16:D28" xr:uid="{7C932985-FDF3-49FF-A732-C0D75A053C06}">
      <formula1>0</formula1>
      <formula2>999999999</formula2>
    </dataValidation>
    <dataValidation type="date" allowBlank="1" showInputMessage="1" showErrorMessage="1" sqref="B16:B28 P16:P23" xr:uid="{28D7BF3D-A091-481E-8634-03BD049A2617}">
      <formula1>43831</formula1>
      <formula2>73050</formula2>
    </dataValidation>
    <dataValidation type="list" allowBlank="1" showErrorMessage="1" sqref="N16:N28" xr:uid="{D07F08BE-9555-415B-AA8E-238AA07D0C36}">
      <formula1>Filtro_Pag</formula1>
    </dataValidation>
    <dataValidation type="list" allowBlank="1" showInputMessage="1" showErrorMessage="1" sqref="Y16:Y23" xr:uid="{5FE2D421-377D-42CC-A3BC-23A39B91A113}">
      <formula1>Filtro_Pag</formula1>
    </dataValidation>
    <dataValidation type="list" allowBlank="1" showInputMessage="1" showErrorMessage="1" sqref="F16:F28" xr:uid="{6B4E31DD-44B4-4403-916C-9102212C4CA8}">
      <formula1>INDIRECT($E16)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F034-06BD-4C9A-B532-34E2E4ADC6EC}">
  <sheetPr codeName="Folha8"/>
  <dimension ref="A1:TX989"/>
  <sheetViews>
    <sheetView showGridLines="0" topLeftCell="A2" zoomScale="50" zoomScaleNormal="50" workbookViewId="0">
      <selection activeCell="V26" sqref="V26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17.2187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7" style="30" customWidth="1"/>
    <col min="18" max="18" width="14.6640625" style="59" customWidth="1"/>
    <col min="19" max="19" width="15.44140625" style="30" customWidth="1"/>
    <col min="20" max="20" width="20.7773437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99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100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 t="str" cm="1">
        <f t="array" ref="TR2">IF(ISERROR(MATCH(_xlfn.ANCHORARRAY('3'!#REF!),TabelaDesp[Despesas],0)),"Faturação","Despesas")</f>
        <v>Faturação</v>
      </c>
      <c r="TS2" s="127" t="s" cm="1">
        <v>12</v>
      </c>
      <c r="TT2" s="127" t="e" cm="1">
        <f t="array" ref="TT2">IF(_xlfn.ANCHORARRAY('3'!#REF!)="Faturação",SUMIFS(Fat_Abr[Base],Fat_Abr[Descrição],_xlfn.ANCHORARRAY('3'!#REF!)),SUMIFS(Desp_Abr[Base],Desp_Abr[Tipo],_xlfn.ANCHORARRAY('3'!#REF!)))</f>
        <v>#REF!</v>
      </c>
      <c r="TU2" s="127"/>
      <c r="TV2" s="127" t="str" cm="1">
        <f t="array" aca="1" ref="TV2:TW2" ca="1">OFFSET($TR$2,0,0,COUNTA(_xlfn.ANCHORARRAY($TR$2)),2)</f>
        <v>Faturação</v>
      </c>
      <c r="TW2" s="127" t="str">
        <f ca="1"/>
        <v>Curso</v>
      </c>
      <c r="TX2" s="127" t="e" cm="1">
        <f t="array" aca="1" ref="TX2" ca="1">OFFSET($TT$2,0,0,COUNTA(_xlfn.ANCHORARRAY($TT$2)),1)</f>
        <v>#REF!</v>
      </c>
    </row>
    <row r="3" spans="1:544" ht="36.9" customHeight="1">
      <c r="C3" s="233" t="s">
        <v>101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2014</v>
      </c>
      <c r="G5" s="235" t="s">
        <v>71</v>
      </c>
      <c r="H5" s="235"/>
      <c r="I5" s="166">
        <f ca="1">SUM(I6:I8)</f>
        <v>3637.35</v>
      </c>
      <c r="J5" s="31"/>
      <c r="K5" s="31"/>
      <c r="L5" s="170" t="s">
        <v>72</v>
      </c>
      <c r="M5" s="171">
        <f>+L14</f>
        <v>2014</v>
      </c>
      <c r="N5" s="168" t="s">
        <v>73</v>
      </c>
      <c r="O5" s="231">
        <f ca="1">+SUMIF(M16:M2599,"Pago",L16:L2499)</f>
        <v>2014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565</v>
      </c>
      <c r="F6" s="30"/>
      <c r="G6" s="234" t="s">
        <v>6</v>
      </c>
      <c r="H6" s="234"/>
      <c r="I6" s="167">
        <f ca="1">+SUMIF(T16:T199994,G6,U16:U4994)</f>
        <v>3113.59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341</v>
      </c>
      <c r="F7" s="30"/>
      <c r="G7" s="234" t="s">
        <v>5</v>
      </c>
      <c r="H7" s="234"/>
      <c r="I7" s="167">
        <f ca="1">+SUMIF(T16:T199994,G7,U16:U4994)</f>
        <v>523.75999999999988</v>
      </c>
      <c r="J7" s="32"/>
      <c r="K7" s="32"/>
      <c r="L7" s="170" t="s">
        <v>4</v>
      </c>
      <c r="M7" s="171">
        <f>+W14</f>
        <v>3640.8</v>
      </c>
      <c r="N7" s="168" t="s">
        <v>75</v>
      </c>
      <c r="O7" s="231">
        <f ca="1">+SUMIF(X16:X2599,"Pago",W16:W2499)</f>
        <v>3640.8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1108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-1623.35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+SUM(Fat_Abr[Base])</f>
        <v>2014</v>
      </c>
      <c r="J14" s="52">
        <f>+SUM(Fat_Abr[[IVA ]])</f>
        <v>0</v>
      </c>
      <c r="K14" s="52">
        <f>+SUM(Fat_Abr[Retenção])</f>
        <v>0</v>
      </c>
      <c r="L14" s="52">
        <f>+SUM(Fat_Abr[Total])</f>
        <v>2014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+SUM(Desp_Abr[Base])</f>
        <v>3637.3500000000004</v>
      </c>
      <c r="V14" s="52">
        <f>SUM(Desp_Abr[[IVA ]])</f>
        <v>3.45</v>
      </c>
      <c r="W14" s="52">
        <f>SUM(Desp_Abr[Total])</f>
        <v>3640.8</v>
      </c>
      <c r="X14" s="133"/>
      <c r="Y14" s="133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60">
        <v>45750</v>
      </c>
      <c r="C16" s="211" t="s">
        <v>203</v>
      </c>
      <c r="D16" s="59">
        <v>0</v>
      </c>
      <c r="E16" s="30" t="s">
        <v>8</v>
      </c>
      <c r="F16" s="30" t="s">
        <v>200</v>
      </c>
      <c r="H16" s="30">
        <v>1</v>
      </c>
      <c r="I16" s="32">
        <v>38.5</v>
      </c>
      <c r="J16" s="32">
        <v>0</v>
      </c>
      <c r="K16" s="32">
        <v>0</v>
      </c>
      <c r="L16" s="32">
        <f>+I16+J16-K16</f>
        <v>38.5</v>
      </c>
      <c r="M16" s="30" t="s">
        <v>75</v>
      </c>
      <c r="N16" s="30" t="s">
        <v>18</v>
      </c>
      <c r="O16" s="29"/>
      <c r="P16" s="60">
        <v>45750</v>
      </c>
      <c r="Q16" s="211" t="s">
        <v>213</v>
      </c>
      <c r="T16" s="30" t="s">
        <v>5</v>
      </c>
      <c r="U16" s="32">
        <v>15</v>
      </c>
      <c r="V16" s="32">
        <f>+Desp_Abr[[#This Row],[Base]]*0.23</f>
        <v>3.45</v>
      </c>
      <c r="W16" s="32">
        <f>+Desp_Abr[[#This Row],[Base]]+Desp_Abr[[#This Row],[IVA ]]</f>
        <v>18.45</v>
      </c>
      <c r="X16" s="32" t="s">
        <v>75</v>
      </c>
      <c r="Y16" s="138" t="s">
        <v>214</v>
      </c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60">
        <v>45751</v>
      </c>
      <c r="C17" s="211" t="s">
        <v>203</v>
      </c>
      <c r="D17" s="59">
        <v>0</v>
      </c>
      <c r="E17" s="30" t="s">
        <v>8</v>
      </c>
      <c r="F17" s="30" t="s">
        <v>200</v>
      </c>
      <c r="H17" s="30">
        <v>1</v>
      </c>
      <c r="I17" s="32">
        <v>38.5</v>
      </c>
      <c r="J17" s="32">
        <v>0</v>
      </c>
      <c r="K17" s="32">
        <v>0</v>
      </c>
      <c r="L17" s="32">
        <f t="shared" ref="L17:L18" si="0">+I17+J17-K17</f>
        <v>38.5</v>
      </c>
      <c r="M17" s="30" t="s">
        <v>75</v>
      </c>
      <c r="N17" s="30" t="s">
        <v>18</v>
      </c>
      <c r="O17" s="29"/>
      <c r="P17" s="60">
        <v>45754</v>
      </c>
      <c r="Q17" s="211" t="s">
        <v>212</v>
      </c>
      <c r="T17" s="30" t="s">
        <v>5</v>
      </c>
      <c r="U17" s="32">
        <v>280</v>
      </c>
      <c r="V17" s="32">
        <v>0</v>
      </c>
      <c r="W17" s="32">
        <v>280</v>
      </c>
      <c r="X17" s="32" t="s">
        <v>75</v>
      </c>
      <c r="Y17" s="138" t="s">
        <v>15</v>
      </c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60">
        <v>45754</v>
      </c>
      <c r="C18" s="211" t="s">
        <v>203</v>
      </c>
      <c r="D18" s="59">
        <v>0</v>
      </c>
      <c r="E18" s="30" t="s">
        <v>8</v>
      </c>
      <c r="F18" s="30" t="s">
        <v>200</v>
      </c>
      <c r="H18" s="30">
        <v>1</v>
      </c>
      <c r="I18" s="32">
        <v>38.5</v>
      </c>
      <c r="J18" s="32">
        <v>0</v>
      </c>
      <c r="K18" s="32">
        <v>0</v>
      </c>
      <c r="L18" s="32">
        <f t="shared" si="0"/>
        <v>38.5</v>
      </c>
      <c r="M18" s="30" t="s">
        <v>75</v>
      </c>
      <c r="N18" s="30" t="s">
        <v>18</v>
      </c>
      <c r="O18" s="29"/>
      <c r="P18" s="60">
        <v>45754</v>
      </c>
      <c r="Q18" s="211" t="s">
        <v>246</v>
      </c>
      <c r="T18" s="30" t="s">
        <v>6</v>
      </c>
      <c r="U18" s="32">
        <v>3113.59</v>
      </c>
      <c r="V18" s="32">
        <v>0</v>
      </c>
      <c r="W18" s="32">
        <v>3113.59</v>
      </c>
      <c r="X18" s="32" t="s">
        <v>75</v>
      </c>
      <c r="Y18" s="138" t="s">
        <v>15</v>
      </c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60">
        <v>45756</v>
      </c>
      <c r="C19" s="211" t="s">
        <v>239</v>
      </c>
      <c r="D19" s="59">
        <v>308014448</v>
      </c>
      <c r="E19" s="30" t="s">
        <v>8</v>
      </c>
      <c r="F19" s="30" t="s">
        <v>200</v>
      </c>
      <c r="G19" s="30">
        <v>20</v>
      </c>
      <c r="H19" s="30">
        <v>1</v>
      </c>
      <c r="I19" s="32">
        <v>55</v>
      </c>
      <c r="J19" s="32">
        <v>0</v>
      </c>
      <c r="K19" s="32">
        <v>0</v>
      </c>
      <c r="L19" s="32">
        <f t="shared" ref="L19:L27" si="1">+I19+J19-K19</f>
        <v>55</v>
      </c>
      <c r="M19" s="30" t="s">
        <v>75</v>
      </c>
      <c r="N19" s="30" t="s">
        <v>13</v>
      </c>
      <c r="O19" s="29"/>
      <c r="P19" s="60">
        <v>45770</v>
      </c>
      <c r="Q19" s="211" t="s">
        <v>216</v>
      </c>
      <c r="T19" s="30" t="s">
        <v>5</v>
      </c>
      <c r="U19" s="32">
        <v>143.88999999999999</v>
      </c>
      <c r="V19" s="32">
        <v>0</v>
      </c>
      <c r="W19" s="32">
        <f>+Desp_Abr[[#This Row],[Base]]+Desp_Abr[[#This Row],[IVA ]]</f>
        <v>143.88999999999999</v>
      </c>
      <c r="X19" s="32" t="s">
        <v>75</v>
      </c>
      <c r="Y19" s="30" t="s">
        <v>214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60">
        <v>45757</v>
      </c>
      <c r="C20" s="211" t="s">
        <v>203</v>
      </c>
      <c r="D20" s="59">
        <v>0</v>
      </c>
      <c r="E20" s="30" t="s">
        <v>8</v>
      </c>
      <c r="F20" s="30" t="s">
        <v>200</v>
      </c>
      <c r="H20" s="30">
        <v>1</v>
      </c>
      <c r="I20" s="32">
        <v>38.5</v>
      </c>
      <c r="J20" s="32">
        <v>0</v>
      </c>
      <c r="K20" s="32">
        <v>0</v>
      </c>
      <c r="L20" s="32">
        <f t="shared" si="1"/>
        <v>38.5</v>
      </c>
      <c r="M20" s="30" t="s">
        <v>75</v>
      </c>
      <c r="N20" s="30" t="s">
        <v>18</v>
      </c>
      <c r="O20" s="29"/>
      <c r="P20" s="60">
        <v>45760</v>
      </c>
      <c r="Q20" s="211" t="s">
        <v>47</v>
      </c>
      <c r="T20" s="30" t="s">
        <v>5</v>
      </c>
      <c r="U20" s="32">
        <v>20</v>
      </c>
      <c r="V20" s="32">
        <v>0</v>
      </c>
      <c r="W20" s="32">
        <f>+Desp_Abr[[#This Row],[Base]]+Desp_Abr[[#This Row],[IVA ]]</f>
        <v>20</v>
      </c>
      <c r="X20" s="32" t="s">
        <v>75</v>
      </c>
      <c r="Y20" s="30" t="s">
        <v>15</v>
      </c>
    </row>
    <row r="21" spans="2:544" ht="21.6" customHeight="1">
      <c r="B21" s="60">
        <v>45758</v>
      </c>
      <c r="C21" s="211" t="s">
        <v>239</v>
      </c>
      <c r="D21" s="59">
        <v>308014448</v>
      </c>
      <c r="E21" s="30" t="s">
        <v>8</v>
      </c>
      <c r="F21" s="30" t="s">
        <v>200</v>
      </c>
      <c r="G21" s="30">
        <v>21</v>
      </c>
      <c r="H21" s="30">
        <v>1</v>
      </c>
      <c r="I21" s="32">
        <v>55</v>
      </c>
      <c r="J21" s="32">
        <v>0</v>
      </c>
      <c r="K21" s="32">
        <v>0</v>
      </c>
      <c r="L21" s="32">
        <f t="shared" si="1"/>
        <v>55</v>
      </c>
      <c r="M21" s="30" t="s">
        <v>75</v>
      </c>
      <c r="N21" s="30" t="s">
        <v>13</v>
      </c>
      <c r="O21" s="29"/>
      <c r="P21" s="60">
        <v>45775</v>
      </c>
      <c r="Q21" s="211" t="s">
        <v>227</v>
      </c>
      <c r="T21" s="30" t="s">
        <v>5</v>
      </c>
      <c r="U21" s="32">
        <v>17.52</v>
      </c>
      <c r="V21" s="32">
        <v>0</v>
      </c>
      <c r="W21" s="32">
        <v>17.52</v>
      </c>
      <c r="X21" s="32" t="s">
        <v>75</v>
      </c>
      <c r="Y21" s="30" t="s">
        <v>214</v>
      </c>
    </row>
    <row r="22" spans="2:544" ht="21.6" customHeight="1">
      <c r="B22" s="60">
        <v>45761</v>
      </c>
      <c r="C22" s="211" t="s">
        <v>203</v>
      </c>
      <c r="D22" s="59">
        <v>0</v>
      </c>
      <c r="E22" s="30" t="s">
        <v>8</v>
      </c>
      <c r="F22" s="30" t="s">
        <v>200</v>
      </c>
      <c r="H22" s="30">
        <v>1</v>
      </c>
      <c r="I22" s="32">
        <v>38.5</v>
      </c>
      <c r="J22" s="32">
        <v>0</v>
      </c>
      <c r="K22" s="32">
        <v>0</v>
      </c>
      <c r="L22" s="32">
        <f t="shared" si="1"/>
        <v>38.5</v>
      </c>
      <c r="M22" s="30" t="s">
        <v>75</v>
      </c>
      <c r="N22" s="30" t="s">
        <v>18</v>
      </c>
      <c r="O22" s="29"/>
      <c r="P22" s="60">
        <v>45775</v>
      </c>
      <c r="Q22" s="211" t="s">
        <v>226</v>
      </c>
      <c r="T22" s="30" t="s">
        <v>5</v>
      </c>
      <c r="U22" s="32">
        <v>46.8</v>
      </c>
      <c r="V22" s="32">
        <v>0</v>
      </c>
      <c r="W22" s="32">
        <f>+Desp_Abr[[#This Row],[Base]]+Desp_Abr[[#This Row],[IVA ]]</f>
        <v>46.8</v>
      </c>
      <c r="X22" s="32" t="s">
        <v>75</v>
      </c>
      <c r="Y22" s="30" t="s">
        <v>15</v>
      </c>
    </row>
    <row r="23" spans="2:544" ht="21.6" customHeight="1">
      <c r="B23" s="60">
        <v>45764</v>
      </c>
      <c r="C23" s="211" t="s">
        <v>203</v>
      </c>
      <c r="D23" s="59">
        <v>0</v>
      </c>
      <c r="E23" s="30" t="s">
        <v>8</v>
      </c>
      <c r="F23" s="30" t="s">
        <v>200</v>
      </c>
      <c r="H23" s="30">
        <v>1</v>
      </c>
      <c r="I23" s="32">
        <v>38.5</v>
      </c>
      <c r="J23" s="32">
        <v>0</v>
      </c>
      <c r="K23" s="32">
        <v>0</v>
      </c>
      <c r="L23" s="32">
        <f t="shared" si="1"/>
        <v>38.5</v>
      </c>
      <c r="M23" s="30" t="s">
        <v>75</v>
      </c>
      <c r="N23" s="30" t="s">
        <v>18</v>
      </c>
      <c r="O23" s="29"/>
      <c r="P23" s="60">
        <v>45775</v>
      </c>
      <c r="Q23" s="211" t="s">
        <v>247</v>
      </c>
      <c r="T23" s="30" t="s">
        <v>5</v>
      </c>
      <c r="U23" s="32">
        <v>0.55000000000000004</v>
      </c>
      <c r="V23" s="32">
        <v>0</v>
      </c>
      <c r="W23" s="32">
        <f>+Desp_Abr[[#This Row],[Base]]+Desp_Abr[[#This Row],[IVA ]]</f>
        <v>0.55000000000000004</v>
      </c>
      <c r="X23" s="32" t="s">
        <v>75</v>
      </c>
      <c r="Y23" s="30" t="s">
        <v>214</v>
      </c>
    </row>
    <row r="24" spans="2:544" ht="21.6" customHeight="1">
      <c r="B24" s="60">
        <v>45765</v>
      </c>
      <c r="C24" s="211" t="s">
        <v>240</v>
      </c>
      <c r="D24" s="59">
        <v>178479691</v>
      </c>
      <c r="E24" s="30" t="s">
        <v>8</v>
      </c>
      <c r="F24" s="30" t="s">
        <v>199</v>
      </c>
      <c r="G24" s="30">
        <v>22</v>
      </c>
      <c r="H24" s="30">
        <v>1</v>
      </c>
      <c r="I24" s="32">
        <v>75</v>
      </c>
      <c r="J24" s="32">
        <v>0</v>
      </c>
      <c r="K24" s="32">
        <v>0</v>
      </c>
      <c r="L24" s="32">
        <f t="shared" si="1"/>
        <v>75</v>
      </c>
      <c r="M24" s="30" t="s">
        <v>75</v>
      </c>
      <c r="N24" s="30" t="s">
        <v>18</v>
      </c>
      <c r="O24" s="29"/>
    </row>
    <row r="25" spans="2:544" ht="21.6" customHeight="1">
      <c r="B25" s="60">
        <v>45765</v>
      </c>
      <c r="C25" s="211" t="s">
        <v>241</v>
      </c>
      <c r="D25" s="59">
        <v>295081457</v>
      </c>
      <c r="E25" s="30" t="s">
        <v>8</v>
      </c>
      <c r="F25" s="30" t="s">
        <v>199</v>
      </c>
      <c r="G25" s="30">
        <v>23</v>
      </c>
      <c r="H25" s="30">
        <v>1</v>
      </c>
      <c r="I25" s="32">
        <v>85</v>
      </c>
      <c r="J25" s="32">
        <v>0</v>
      </c>
      <c r="K25" s="32">
        <v>0</v>
      </c>
      <c r="L25" s="32">
        <f t="shared" si="1"/>
        <v>85</v>
      </c>
      <c r="M25" s="30" t="s">
        <v>75</v>
      </c>
      <c r="N25" s="30" t="s">
        <v>20</v>
      </c>
      <c r="U25" s="57"/>
      <c r="V25" s="57"/>
      <c r="W25" s="57"/>
      <c r="X25" s="57"/>
    </row>
    <row r="26" spans="2:544" ht="21.6" customHeight="1">
      <c r="B26" s="60">
        <v>45769</v>
      </c>
      <c r="C26" s="211" t="s">
        <v>242</v>
      </c>
      <c r="D26" s="59">
        <v>241473314</v>
      </c>
      <c r="E26" s="30" t="s">
        <v>8</v>
      </c>
      <c r="F26" s="30" t="s">
        <v>199</v>
      </c>
      <c r="G26" s="30">
        <v>24</v>
      </c>
      <c r="H26" s="30">
        <v>1</v>
      </c>
      <c r="I26" s="32">
        <v>85</v>
      </c>
      <c r="J26" s="32">
        <v>0</v>
      </c>
      <c r="K26" s="32">
        <v>0</v>
      </c>
      <c r="L26" s="32">
        <f t="shared" si="1"/>
        <v>85</v>
      </c>
      <c r="M26" s="30" t="s">
        <v>75</v>
      </c>
      <c r="N26" s="30" t="s">
        <v>18</v>
      </c>
      <c r="U26" s="57"/>
      <c r="V26" s="57"/>
      <c r="W26" s="57"/>
      <c r="X26" s="57"/>
    </row>
    <row r="27" spans="2:544" ht="21.6" customHeight="1">
      <c r="B27" s="60">
        <v>45777</v>
      </c>
      <c r="C27" s="211" t="s">
        <v>243</v>
      </c>
      <c r="D27" s="59">
        <v>234558504</v>
      </c>
      <c r="E27" s="30" t="s">
        <v>8</v>
      </c>
      <c r="F27" s="211" t="s">
        <v>199</v>
      </c>
      <c r="G27" s="30">
        <v>28</v>
      </c>
      <c r="H27" s="30">
        <v>1</v>
      </c>
      <c r="I27" s="32">
        <v>85</v>
      </c>
      <c r="J27" s="32">
        <v>0</v>
      </c>
      <c r="K27" s="32">
        <v>0</v>
      </c>
      <c r="L27" s="32">
        <f t="shared" si="1"/>
        <v>85</v>
      </c>
      <c r="M27" s="30" t="s">
        <v>75</v>
      </c>
      <c r="N27" s="30" t="s">
        <v>20</v>
      </c>
      <c r="U27" s="57"/>
      <c r="V27" s="57"/>
      <c r="W27" s="57"/>
      <c r="X27" s="57"/>
    </row>
    <row r="28" spans="2:544" ht="21.6" customHeight="1">
      <c r="B28" s="60">
        <v>45777</v>
      </c>
      <c r="C28" s="211" t="s">
        <v>244</v>
      </c>
      <c r="D28" s="59">
        <v>230682219</v>
      </c>
      <c r="E28" s="30" t="s">
        <v>8</v>
      </c>
      <c r="F28" s="30" t="s">
        <v>199</v>
      </c>
      <c r="G28" s="30">
        <v>29</v>
      </c>
      <c r="H28" s="30">
        <v>1</v>
      </c>
      <c r="I28" s="32">
        <v>85</v>
      </c>
      <c r="J28" s="32">
        <v>0</v>
      </c>
      <c r="K28" s="32">
        <v>0</v>
      </c>
      <c r="L28" s="32">
        <v>85</v>
      </c>
      <c r="M28" s="30" t="s">
        <v>75</v>
      </c>
      <c r="N28" s="30" t="s">
        <v>20</v>
      </c>
      <c r="U28" s="57"/>
      <c r="V28" s="57"/>
      <c r="W28" s="57"/>
      <c r="X28" s="57"/>
    </row>
    <row r="29" spans="2:544" ht="21.6" customHeight="1">
      <c r="B29" s="60">
        <v>45777</v>
      </c>
      <c r="C29" s="211" t="s">
        <v>237</v>
      </c>
      <c r="D29" s="59">
        <v>0</v>
      </c>
      <c r="E29" s="30" t="s">
        <v>8</v>
      </c>
      <c r="F29" s="30" t="s">
        <v>199</v>
      </c>
      <c r="H29" s="30">
        <v>1</v>
      </c>
      <c r="I29" s="32">
        <v>65</v>
      </c>
      <c r="J29" s="32">
        <v>0</v>
      </c>
      <c r="K29" s="32">
        <v>0</v>
      </c>
      <c r="L29" s="32">
        <f>+I29+J29-K29</f>
        <v>65</v>
      </c>
      <c r="M29" s="30" t="s">
        <v>75</v>
      </c>
      <c r="N29" s="30" t="s">
        <v>18</v>
      </c>
      <c r="U29" s="57"/>
      <c r="V29" s="57"/>
      <c r="W29" s="57"/>
      <c r="X29" s="57"/>
    </row>
    <row r="30" spans="2:544" ht="21.6" customHeight="1">
      <c r="B30" s="60">
        <v>45773</v>
      </c>
      <c r="C30" s="211" t="s">
        <v>241</v>
      </c>
      <c r="D30" s="59">
        <v>295081457</v>
      </c>
      <c r="E30" s="30" t="s">
        <v>8</v>
      </c>
      <c r="F30" s="30" t="s">
        <v>201</v>
      </c>
      <c r="G30" s="30">
        <v>25</v>
      </c>
      <c r="H30" s="30">
        <v>1</v>
      </c>
      <c r="I30" s="32">
        <v>400</v>
      </c>
      <c r="J30" s="32">
        <v>0</v>
      </c>
      <c r="K30" s="32">
        <v>0</v>
      </c>
      <c r="L30" s="32">
        <f>+I30+J30-K30</f>
        <v>400</v>
      </c>
      <c r="M30" s="30" t="s">
        <v>75</v>
      </c>
      <c r="N30" s="30" t="s">
        <v>20</v>
      </c>
      <c r="U30" s="57"/>
      <c r="V30" s="57"/>
      <c r="W30" s="57"/>
      <c r="X30" s="57"/>
    </row>
    <row r="31" spans="2:544" ht="21.6" customHeight="1">
      <c r="B31" s="60">
        <v>45773</v>
      </c>
      <c r="C31" s="211" t="s">
        <v>240</v>
      </c>
      <c r="D31" s="59">
        <v>178479691</v>
      </c>
      <c r="E31" s="30" t="s">
        <v>8</v>
      </c>
      <c r="F31" s="30" t="s">
        <v>201</v>
      </c>
      <c r="G31" s="30">
        <v>27</v>
      </c>
      <c r="H31" s="30">
        <v>1</v>
      </c>
      <c r="I31" s="32">
        <v>400</v>
      </c>
      <c r="J31" s="32">
        <v>0</v>
      </c>
      <c r="K31" s="32">
        <v>0</v>
      </c>
      <c r="L31" s="32">
        <f>+I31+J31-K31</f>
        <v>400</v>
      </c>
      <c r="M31" s="30" t="s">
        <v>75</v>
      </c>
      <c r="N31" s="30" t="s">
        <v>18</v>
      </c>
      <c r="U31" s="57"/>
      <c r="V31" s="57"/>
      <c r="W31" s="57"/>
      <c r="X31" s="57"/>
    </row>
    <row r="32" spans="2:544" ht="21.6" customHeight="1">
      <c r="B32" s="60">
        <v>45773</v>
      </c>
      <c r="C32" s="211" t="s">
        <v>245</v>
      </c>
      <c r="D32" s="59">
        <v>282896228</v>
      </c>
      <c r="E32" s="30" t="s">
        <v>8</v>
      </c>
      <c r="F32" s="30" t="s">
        <v>199</v>
      </c>
      <c r="G32" s="30">
        <v>26</v>
      </c>
      <c r="H32" s="30">
        <v>1</v>
      </c>
      <c r="I32" s="32">
        <v>85</v>
      </c>
      <c r="J32" s="32">
        <v>0</v>
      </c>
      <c r="K32" s="32">
        <v>0</v>
      </c>
      <c r="L32" s="32">
        <f>+I32+J32-K32</f>
        <v>85</v>
      </c>
      <c r="M32" s="30" t="s">
        <v>75</v>
      </c>
      <c r="N32" s="30" t="s">
        <v>18</v>
      </c>
      <c r="U32" s="57"/>
      <c r="V32" s="57"/>
      <c r="W32" s="57"/>
      <c r="X32" s="57"/>
    </row>
    <row r="33" spans="2:24" ht="21.6" customHeight="1">
      <c r="B33" s="60">
        <v>45773</v>
      </c>
      <c r="C33" s="211" t="s">
        <v>231</v>
      </c>
      <c r="D33" s="59">
        <v>0</v>
      </c>
      <c r="E33" s="30" t="s">
        <v>8</v>
      </c>
      <c r="F33" s="30" t="s">
        <v>201</v>
      </c>
      <c r="H33" s="30">
        <v>1</v>
      </c>
      <c r="I33" s="32">
        <v>308</v>
      </c>
      <c r="J33" s="32">
        <v>0</v>
      </c>
      <c r="K33" s="32">
        <v>0</v>
      </c>
      <c r="L33" s="32">
        <f>+I33+J33-K33</f>
        <v>308</v>
      </c>
      <c r="M33" s="30" t="s">
        <v>75</v>
      </c>
      <c r="N33" s="30" t="s">
        <v>18</v>
      </c>
      <c r="U33" s="57"/>
      <c r="V33" s="57"/>
      <c r="W33" s="57"/>
      <c r="X33" s="57"/>
    </row>
    <row r="34" spans="2:24" ht="21.6" customHeight="1">
      <c r="U34" s="57"/>
      <c r="V34" s="57"/>
      <c r="W34" s="57"/>
      <c r="X34" s="57"/>
    </row>
    <row r="35" spans="2:24" ht="21.6" customHeight="1">
      <c r="U35" s="57"/>
      <c r="V35" s="57"/>
      <c r="W35" s="57"/>
      <c r="X35" s="57"/>
    </row>
    <row r="36" spans="2:24" ht="21.6" customHeight="1">
      <c r="U36" s="57"/>
      <c r="V36" s="57"/>
      <c r="W36" s="57"/>
      <c r="X36" s="57"/>
    </row>
    <row r="37" spans="2:24" ht="21.6" customHeight="1">
      <c r="U37" s="57"/>
      <c r="V37" s="57"/>
      <c r="W37" s="57"/>
      <c r="X37" s="57"/>
    </row>
    <row r="38" spans="2:24" ht="21.6" customHeight="1">
      <c r="U38" s="57"/>
      <c r="V38" s="57"/>
      <c r="W38" s="57"/>
      <c r="X38" s="57"/>
    </row>
    <row r="39" spans="2:24" ht="21.6" customHeight="1">
      <c r="U39" s="57"/>
      <c r="V39" s="57"/>
      <c r="W39" s="57"/>
      <c r="X39" s="57"/>
    </row>
    <row r="40" spans="2:24" ht="21.6" customHeight="1">
      <c r="U40" s="57"/>
      <c r="V40" s="57"/>
      <c r="W40" s="57"/>
      <c r="X40" s="57"/>
    </row>
    <row r="41" spans="2:24" ht="21.6" customHeight="1">
      <c r="U41" s="57"/>
      <c r="V41" s="57"/>
      <c r="W41" s="57"/>
      <c r="X41" s="57"/>
    </row>
    <row r="42" spans="2:24" ht="21.6" customHeight="1">
      <c r="U42" s="57"/>
      <c r="V42" s="57"/>
      <c r="W42" s="57"/>
      <c r="X42" s="57"/>
    </row>
    <row r="43" spans="2:24" ht="21.6" customHeight="1">
      <c r="U43" s="57"/>
      <c r="V43" s="57"/>
      <c r="W43" s="57"/>
      <c r="X43" s="57"/>
    </row>
    <row r="44" spans="2:24" ht="21.6" customHeight="1">
      <c r="U44" s="57"/>
      <c r="V44" s="57"/>
      <c r="W44" s="57"/>
      <c r="X44" s="57"/>
    </row>
    <row r="45" spans="2:24" ht="21.6" customHeight="1">
      <c r="U45" s="57"/>
      <c r="V45" s="57"/>
      <c r="W45" s="57"/>
      <c r="X45" s="57"/>
    </row>
    <row r="46" spans="2:24" ht="21.6" customHeight="1">
      <c r="U46" s="57"/>
      <c r="V46" s="57"/>
      <c r="W46" s="57"/>
      <c r="X46" s="57"/>
    </row>
    <row r="47" spans="2:24" ht="21.6" customHeight="1">
      <c r="U47" s="57"/>
      <c r="V47" s="57"/>
      <c r="W47" s="57"/>
      <c r="X47" s="57"/>
    </row>
    <row r="48" spans="2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</sheetData>
  <mergeCells count="22">
    <mergeCell ref="G10:H10"/>
    <mergeCell ref="O7:P7"/>
    <mergeCell ref="U7:V7"/>
    <mergeCell ref="C8:D8"/>
    <mergeCell ref="G8:H8"/>
    <mergeCell ref="C9:D9"/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</mergeCells>
  <conditionalFormatting sqref="B23 D23:M23 B24:M1048576">
    <cfRule type="expression" dxfId="144" priority="16">
      <formula>$B23="Total"</formula>
    </cfRule>
  </conditionalFormatting>
  <conditionalFormatting sqref="B4:C5 C6:C10 B7:B10">
    <cfRule type="expression" dxfId="143" priority="7">
      <formula>$B4="Resultado Líquido"</formula>
    </cfRule>
    <cfRule type="expression" dxfId="142" priority="8">
      <formula>OR($B4="Faturação",$B4="Despesas")</formula>
    </cfRule>
  </conditionalFormatting>
  <conditionalFormatting sqref="B11:C12">
    <cfRule type="expression" dxfId="141" priority="9">
      <formula>$B11="Resultado Líquido"</formula>
    </cfRule>
    <cfRule type="expression" dxfId="140" priority="10">
      <formula>OR($B11="Faturação",$B11="Despesas")</formula>
    </cfRule>
  </conditionalFormatting>
  <conditionalFormatting sqref="D19">
    <cfRule type="expression" dxfId="139" priority="2">
      <formula>$B19="Total"</formula>
    </cfRule>
  </conditionalFormatting>
  <conditionalFormatting sqref="D21">
    <cfRule type="expression" dxfId="138" priority="1">
      <formula>$B21="Total"</formula>
    </cfRule>
  </conditionalFormatting>
  <conditionalFormatting sqref="G5:G8">
    <cfRule type="expression" dxfId="137" priority="5">
      <formula>$B5="Resultado Líquido"</formula>
    </cfRule>
    <cfRule type="expression" dxfId="136" priority="6">
      <formula>OR($B5="Faturação",$B5="Despesas")</formula>
    </cfRule>
  </conditionalFormatting>
  <conditionalFormatting sqref="G10">
    <cfRule type="expression" dxfId="135" priority="3">
      <formula>$B10="Resultado Líquido"</formula>
    </cfRule>
    <cfRule type="expression" dxfId="134" priority="4">
      <formula>OR($B10="Faturação",$B10="Despesas")</formula>
    </cfRule>
  </conditionalFormatting>
  <conditionalFormatting sqref="O23:O24">
    <cfRule type="expression" dxfId="133" priority="17">
      <formula>#REF!="Total"</formula>
    </cfRule>
  </conditionalFormatting>
  <conditionalFormatting sqref="P15:Y1048576">
    <cfRule type="expression" dxfId="132" priority="15">
      <formula>$P15="Total"</formula>
    </cfRule>
  </conditionalFormatting>
  <dataValidations count="9">
    <dataValidation type="list" allowBlank="1" showInputMessage="1" showErrorMessage="1" sqref="E16:E33" xr:uid="{6222180A-ACAE-4A5E-A1DB-643D49FAB560}">
      <formula1>"Produtos,Serviços"</formula1>
    </dataValidation>
    <dataValidation type="list" allowBlank="1" showErrorMessage="1" sqref="M16:M33" xr:uid="{28E6F89B-4CB4-4A78-8BEF-A763F1A62CD3}">
      <formula1>"Pago,Pendente,Vencido"</formula1>
    </dataValidation>
    <dataValidation type="list" allowBlank="1" showInputMessage="1" showErrorMessage="1" sqref="X16:X23" xr:uid="{9050B718-1C9F-4F6F-BB77-C75327E6CCA5}">
      <formula1>"Pago,Pendente,Vencido"</formula1>
    </dataValidation>
    <dataValidation type="list" allowBlank="1" showInputMessage="1" showErrorMessage="1" sqref="T16:T23" xr:uid="{D6982C3C-CAA6-4664-8EBC-FCF21ED28536}">
      <formula1>Filtro_Desp</formula1>
    </dataValidation>
    <dataValidation type="whole" allowBlank="1" showInputMessage="1" showErrorMessage="1" sqref="R16:R23 D16:D33" xr:uid="{FE6B9C67-94EA-4A38-B476-F025A882080D}">
      <formula1>0</formula1>
      <formula2>999999999</formula2>
    </dataValidation>
    <dataValidation type="date" allowBlank="1" showInputMessage="1" showErrorMessage="1" sqref="B16:B33 P16:P23" xr:uid="{188DEBB2-16B5-4A5D-9E6B-A287DD326FB9}">
      <formula1>43831</formula1>
      <formula2>73050</formula2>
    </dataValidation>
    <dataValidation type="list" allowBlank="1" showErrorMessage="1" sqref="N16:N33" xr:uid="{B5DC08FB-607C-4729-A260-2606B7FF246E}">
      <formula1>Filtro_Pag</formula1>
    </dataValidation>
    <dataValidation type="list" allowBlank="1" showInputMessage="1" showErrorMessage="1" sqref="Y16:Y23" xr:uid="{5CA68F4A-73BE-492F-87D3-569B7DDFD08F}">
      <formula1>Filtro_Pag</formula1>
    </dataValidation>
    <dataValidation type="list" allowBlank="1" showInputMessage="1" showErrorMessage="1" sqref="F16:F33" xr:uid="{E3257D6D-A685-4924-879F-BBE4E0298741}">
      <formula1>INDIRECT($E16)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E5D3-0DD7-4484-9680-CB057FC2FCBE}">
  <sheetPr codeName="Folha9"/>
  <dimension ref="A1:TX989"/>
  <sheetViews>
    <sheetView showGridLines="0" topLeftCell="C7" zoomScale="60" zoomScaleNormal="60" workbookViewId="0">
      <selection activeCell="I35" sqref="I35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18.2187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3.88671875" style="30" customWidth="1"/>
    <col min="18" max="18" width="14.6640625" style="59" customWidth="1"/>
    <col min="19" max="19" width="15.44140625" style="30" customWidth="1"/>
    <col min="20" max="20" width="21.554687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102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103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 t="s" cm="1">
        <v>72</v>
      </c>
      <c r="TS2" s="127" t="s" cm="1">
        <v>12</v>
      </c>
      <c r="TT2" s="127" cm="1">
        <v>0</v>
      </c>
      <c r="TU2" s="127"/>
      <c r="TV2" s="127" t="s" cm="1">
        <v>72</v>
      </c>
      <c r="TW2" s="127" t="s">
        <v>12</v>
      </c>
      <c r="TX2" s="127" cm="1">
        <v>0</v>
      </c>
    </row>
    <row r="3" spans="1:544" ht="36.9" customHeight="1">
      <c r="C3" s="233" t="s">
        <v>104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2913</v>
      </c>
      <c r="G5" s="235" t="s">
        <v>71</v>
      </c>
      <c r="H5" s="235"/>
      <c r="I5" s="166">
        <f ca="1">SUM(I6:I8)</f>
        <v>1391.0239999999999</v>
      </c>
      <c r="J5" s="31"/>
      <c r="K5" s="31"/>
      <c r="L5" s="170" t="s">
        <v>72</v>
      </c>
      <c r="M5" s="171">
        <f>+L14</f>
        <v>2913</v>
      </c>
      <c r="N5" s="168" t="s">
        <v>73</v>
      </c>
      <c r="O5" s="231">
        <f ca="1">+SUMIF(M16:M2599,"Pago",L16:L2499)</f>
        <v>2913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255</v>
      </c>
      <c r="F6" s="30"/>
      <c r="G6" s="234" t="s">
        <v>6</v>
      </c>
      <c r="H6" s="234"/>
      <c r="I6" s="167">
        <f ca="1">+SUMIF(T16:T199994,G6,U16:U4994)</f>
        <v>69.444000000000003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350</v>
      </c>
      <c r="F7" s="30"/>
      <c r="G7" s="234" t="s">
        <v>5</v>
      </c>
      <c r="H7" s="234"/>
      <c r="I7" s="167">
        <f ca="1">+SUMIF(T16:T199994,G7,U16:U4994)</f>
        <v>1321.58</v>
      </c>
      <c r="J7" s="32"/>
      <c r="K7" s="32"/>
      <c r="L7" s="170" t="s">
        <v>4</v>
      </c>
      <c r="M7" s="171">
        <f>+W14</f>
        <v>1394.4739999999999</v>
      </c>
      <c r="N7" s="168" t="s">
        <v>75</v>
      </c>
      <c r="O7" s="231">
        <f ca="1">+SUMIF(X16:X2599,"Pago",W16:W2499)</f>
        <v>1394.4739999999999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2308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1521.9760000000001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+SUM(Fat_Mai[Base])</f>
        <v>2913</v>
      </c>
      <c r="J14" s="52">
        <f>+SUM(Fat_Mai[[IVA ]])</f>
        <v>0</v>
      </c>
      <c r="K14" s="52">
        <f>+SUM(Fat_Mai[Retenção])</f>
        <v>0</v>
      </c>
      <c r="L14" s="52">
        <f>+SUM(Fat_Mai[Total])</f>
        <v>2913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+SUM(Desp_Mai[Base])</f>
        <v>1391.0239999999999</v>
      </c>
      <c r="V14" s="52">
        <f>SUM(Desp_Mai[[IVA ]])</f>
        <v>3.45</v>
      </c>
      <c r="W14" s="52">
        <f>SUM(Desp_Mai[Total])</f>
        <v>1394.4739999999999</v>
      </c>
      <c r="X14" s="133"/>
      <c r="Y14" s="133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60">
        <v>45779</v>
      </c>
      <c r="C16" s="211" t="s">
        <v>248</v>
      </c>
      <c r="D16" s="59">
        <v>219466106</v>
      </c>
      <c r="E16" s="30" t="s">
        <v>8</v>
      </c>
      <c r="F16" s="30" t="s">
        <v>199</v>
      </c>
      <c r="G16" s="30">
        <v>31</v>
      </c>
      <c r="H16" s="30">
        <v>1</v>
      </c>
      <c r="I16" s="32">
        <v>85</v>
      </c>
      <c r="J16" s="32">
        <v>0</v>
      </c>
      <c r="K16" s="32">
        <v>0</v>
      </c>
      <c r="L16" s="32">
        <f>+I16+J16-K16</f>
        <v>85</v>
      </c>
      <c r="M16" s="30" t="s">
        <v>75</v>
      </c>
      <c r="N16" s="30" t="s">
        <v>18</v>
      </c>
      <c r="O16" s="29"/>
      <c r="P16" s="60">
        <v>45783</v>
      </c>
      <c r="Q16" s="211" t="s">
        <v>237</v>
      </c>
      <c r="T16" s="30" t="s">
        <v>5</v>
      </c>
      <c r="U16" s="32">
        <v>200</v>
      </c>
      <c r="V16" s="32">
        <v>0</v>
      </c>
      <c r="W16" s="32">
        <f>+Desp_Mai[[#This Row],[Base]]+Desp_Mai[[#This Row],[IVA ]]</f>
        <v>200</v>
      </c>
      <c r="X16" s="32" t="s">
        <v>75</v>
      </c>
      <c r="Y16" s="138" t="s">
        <v>15</v>
      </c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60">
        <v>45783</v>
      </c>
      <c r="C17" s="211" t="s">
        <v>243</v>
      </c>
      <c r="D17" s="59">
        <v>234558504</v>
      </c>
      <c r="E17" s="30" t="s">
        <v>8</v>
      </c>
      <c r="F17" s="30" t="s">
        <v>201</v>
      </c>
      <c r="G17" s="30">
        <v>32</v>
      </c>
      <c r="H17" s="30">
        <v>1</v>
      </c>
      <c r="I17" s="32">
        <v>400</v>
      </c>
      <c r="J17" s="32">
        <v>0</v>
      </c>
      <c r="K17" s="32">
        <v>0</v>
      </c>
      <c r="L17" s="32">
        <f t="shared" ref="L17:L18" si="0">+I17+J17-K17</f>
        <v>400</v>
      </c>
      <c r="M17" s="30" t="s">
        <v>75</v>
      </c>
      <c r="N17" s="30" t="s">
        <v>20</v>
      </c>
      <c r="O17" s="29"/>
      <c r="P17" s="60">
        <v>45782</v>
      </c>
      <c r="Q17" s="211" t="s">
        <v>212</v>
      </c>
      <c r="T17" s="30" t="s">
        <v>5</v>
      </c>
      <c r="U17" s="32">
        <v>280</v>
      </c>
      <c r="V17" s="32">
        <v>0</v>
      </c>
      <c r="W17" s="32">
        <f>+Desp_Mai[[#This Row],[Base]]+Desp_Mai[[#This Row],[IVA ]]</f>
        <v>280</v>
      </c>
      <c r="X17" s="32" t="s">
        <v>75</v>
      </c>
      <c r="Y17" s="138" t="s">
        <v>15</v>
      </c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60">
        <v>45785</v>
      </c>
      <c r="C18" s="211" t="s">
        <v>248</v>
      </c>
      <c r="D18" s="59">
        <v>219466106</v>
      </c>
      <c r="E18" s="30" t="s">
        <v>8</v>
      </c>
      <c r="F18" s="30" t="s">
        <v>201</v>
      </c>
      <c r="G18" s="30">
        <v>33</v>
      </c>
      <c r="H18" s="30">
        <v>1</v>
      </c>
      <c r="I18" s="32">
        <v>400</v>
      </c>
      <c r="J18" s="32">
        <v>0</v>
      </c>
      <c r="K18" s="32">
        <v>0</v>
      </c>
      <c r="L18" s="32">
        <f t="shared" si="0"/>
        <v>400</v>
      </c>
      <c r="M18" s="30" t="s">
        <v>75</v>
      </c>
      <c r="N18" s="30" t="s">
        <v>20</v>
      </c>
      <c r="O18" s="29"/>
      <c r="P18" s="60">
        <v>45783</v>
      </c>
      <c r="Q18" s="211" t="s">
        <v>213</v>
      </c>
      <c r="T18" s="30" t="s">
        <v>5</v>
      </c>
      <c r="U18" s="32">
        <v>15</v>
      </c>
      <c r="V18" s="32">
        <f>+Desp_Mai[[#This Row],[Base]]*0.23</f>
        <v>3.45</v>
      </c>
      <c r="W18" s="32">
        <f>+Desp_Mai[[#This Row],[Base]]+Desp_Mai[[#This Row],[IVA ]]</f>
        <v>18.45</v>
      </c>
      <c r="X18" s="32" t="s">
        <v>75</v>
      </c>
      <c r="Y18" s="138" t="s">
        <v>214</v>
      </c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60">
        <v>45785</v>
      </c>
      <c r="C19" s="211" t="s">
        <v>249</v>
      </c>
      <c r="D19" s="59">
        <v>230682219</v>
      </c>
      <c r="E19" s="30" t="s">
        <v>8</v>
      </c>
      <c r="F19" s="30" t="s">
        <v>200</v>
      </c>
      <c r="G19" s="30">
        <v>34</v>
      </c>
      <c r="H19" s="30">
        <v>1</v>
      </c>
      <c r="I19" s="32">
        <v>50</v>
      </c>
      <c r="J19" s="32">
        <v>0</v>
      </c>
      <c r="K19" s="32">
        <v>0</v>
      </c>
      <c r="L19" s="32">
        <f t="shared" ref="L19:L31" si="1">+I19+J19-K19</f>
        <v>50</v>
      </c>
      <c r="M19" s="30" t="s">
        <v>75</v>
      </c>
      <c r="N19" s="30" t="s">
        <v>20</v>
      </c>
      <c r="O19" s="29"/>
      <c r="P19" s="60">
        <v>45786</v>
      </c>
      <c r="Q19" s="211" t="s">
        <v>253</v>
      </c>
      <c r="T19" s="30" t="s">
        <v>5</v>
      </c>
      <c r="U19" s="32">
        <v>4.99</v>
      </c>
      <c r="V19" s="32">
        <v>0</v>
      </c>
      <c r="W19" s="32">
        <v>4.99</v>
      </c>
      <c r="X19" s="32" t="s">
        <v>75</v>
      </c>
      <c r="Y19" s="30" t="s">
        <v>214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60">
        <v>45790</v>
      </c>
      <c r="C20" s="211" t="s">
        <v>249</v>
      </c>
      <c r="D20" s="59">
        <v>230682219</v>
      </c>
      <c r="E20" s="30" t="s">
        <v>8</v>
      </c>
      <c r="F20" s="30" t="s">
        <v>200</v>
      </c>
      <c r="G20" s="30">
        <v>35</v>
      </c>
      <c r="H20" s="30">
        <v>1</v>
      </c>
      <c r="I20" s="32">
        <v>50</v>
      </c>
      <c r="J20" s="32">
        <v>0</v>
      </c>
      <c r="K20" s="32">
        <v>0</v>
      </c>
      <c r="L20" s="32">
        <f t="shared" si="1"/>
        <v>50</v>
      </c>
      <c r="M20" s="30" t="s">
        <v>75</v>
      </c>
      <c r="N20" s="30" t="s">
        <v>20</v>
      </c>
      <c r="O20" s="29"/>
      <c r="P20" s="60">
        <v>45786</v>
      </c>
      <c r="Q20" s="211" t="s">
        <v>254</v>
      </c>
      <c r="T20" s="30" t="s">
        <v>5</v>
      </c>
      <c r="U20" s="32">
        <v>0.2</v>
      </c>
      <c r="V20" s="32">
        <v>0</v>
      </c>
      <c r="W20" s="32">
        <f>+Desp_Mai[[#This Row],[Base]]+Desp_Mai[[#This Row],[IVA ]]</f>
        <v>0.2</v>
      </c>
      <c r="X20" s="32" t="s">
        <v>75</v>
      </c>
      <c r="Y20" s="30" t="s">
        <v>214</v>
      </c>
    </row>
    <row r="21" spans="2:544" ht="21.6" customHeight="1">
      <c r="B21" s="60">
        <v>45792</v>
      </c>
      <c r="C21" s="211" t="s">
        <v>249</v>
      </c>
      <c r="D21" s="59">
        <v>230682219</v>
      </c>
      <c r="E21" s="30" t="s">
        <v>8</v>
      </c>
      <c r="F21" s="30" t="s">
        <v>200</v>
      </c>
      <c r="G21" s="30">
        <v>36</v>
      </c>
      <c r="H21" s="30">
        <v>1</v>
      </c>
      <c r="I21" s="32">
        <v>50</v>
      </c>
      <c r="J21" s="32">
        <v>0</v>
      </c>
      <c r="K21" s="32">
        <v>0</v>
      </c>
      <c r="L21" s="32">
        <f t="shared" si="1"/>
        <v>50</v>
      </c>
      <c r="M21" s="30" t="s">
        <v>75</v>
      </c>
      <c r="N21" s="30" t="s">
        <v>20</v>
      </c>
      <c r="O21" s="29"/>
      <c r="P21" s="60">
        <v>45784</v>
      </c>
      <c r="Q21" s="211" t="s">
        <v>255</v>
      </c>
      <c r="T21" s="30" t="s">
        <v>6</v>
      </c>
      <c r="U21" s="32">
        <v>62.444000000000003</v>
      </c>
      <c r="V21" s="32">
        <v>0</v>
      </c>
      <c r="W21" s="32">
        <f>+Desp_Mai[[#This Row],[Base]]+Desp_Mai[[#This Row],[IVA ]]</f>
        <v>62.444000000000003</v>
      </c>
      <c r="X21" s="32" t="s">
        <v>75</v>
      </c>
      <c r="Y21" s="30" t="s">
        <v>15</v>
      </c>
    </row>
    <row r="22" spans="2:544" ht="21.6" customHeight="1">
      <c r="B22" s="60">
        <v>45793</v>
      </c>
      <c r="C22" s="211" t="s">
        <v>250</v>
      </c>
      <c r="D22" s="59">
        <v>241865352</v>
      </c>
      <c r="E22" s="30" t="s">
        <v>8</v>
      </c>
      <c r="F22" s="30" t="s">
        <v>199</v>
      </c>
      <c r="G22" s="30">
        <v>37</v>
      </c>
      <c r="H22" s="30">
        <v>1</v>
      </c>
      <c r="I22" s="32">
        <v>85</v>
      </c>
      <c r="J22" s="32">
        <v>0</v>
      </c>
      <c r="K22" s="32">
        <v>0</v>
      </c>
      <c r="L22" s="32">
        <f t="shared" si="1"/>
        <v>85</v>
      </c>
      <c r="M22" s="30" t="s">
        <v>75</v>
      </c>
      <c r="N22" s="30" t="s">
        <v>20</v>
      </c>
      <c r="O22" s="29"/>
      <c r="P22" s="60">
        <v>45791</v>
      </c>
      <c r="Q22" s="211" t="s">
        <v>256</v>
      </c>
      <c r="T22" s="30" t="s">
        <v>6</v>
      </c>
      <c r="U22" s="32">
        <v>7</v>
      </c>
      <c r="V22" s="32">
        <v>0</v>
      </c>
      <c r="W22" s="32">
        <f>+Desp_Mai[[#This Row],[Base]]+Desp_Mai[[#This Row],[IVA ]]</f>
        <v>7</v>
      </c>
      <c r="X22" s="32" t="s">
        <v>75</v>
      </c>
      <c r="Y22" s="30" t="s">
        <v>20</v>
      </c>
    </row>
    <row r="23" spans="2:544" ht="21.6" customHeight="1">
      <c r="B23" s="60">
        <v>45794</v>
      </c>
      <c r="C23" s="211" t="s">
        <v>241</v>
      </c>
      <c r="D23" s="59">
        <v>295081457</v>
      </c>
      <c r="E23" s="30" t="s">
        <v>8</v>
      </c>
      <c r="F23" s="30" t="s">
        <v>201</v>
      </c>
      <c r="G23" s="30">
        <v>38</v>
      </c>
      <c r="H23" s="30">
        <v>1</v>
      </c>
      <c r="I23" s="32">
        <v>400</v>
      </c>
      <c r="J23" s="32">
        <v>0</v>
      </c>
      <c r="K23" s="32">
        <v>0</v>
      </c>
      <c r="L23" s="32">
        <f t="shared" si="1"/>
        <v>400</v>
      </c>
      <c r="M23" s="30" t="s">
        <v>75</v>
      </c>
      <c r="N23" s="30" t="s">
        <v>20</v>
      </c>
      <c r="O23" s="29"/>
      <c r="P23" s="60">
        <v>45800</v>
      </c>
      <c r="Q23" s="211" t="s">
        <v>216</v>
      </c>
      <c r="T23" s="30" t="s">
        <v>5</v>
      </c>
      <c r="U23" s="32">
        <v>178.32</v>
      </c>
      <c r="V23" s="32">
        <v>0</v>
      </c>
      <c r="W23" s="32">
        <f>+Desp_Mai[[#This Row],[Base]]+Desp_Mai[[#This Row],[IVA ]]</f>
        <v>178.32</v>
      </c>
      <c r="X23" s="32" t="s">
        <v>75</v>
      </c>
      <c r="Y23" s="30" t="s">
        <v>214</v>
      </c>
    </row>
    <row r="24" spans="2:544" ht="21.6" customHeight="1">
      <c r="B24" s="60">
        <v>45797</v>
      </c>
      <c r="C24" s="211" t="s">
        <v>249</v>
      </c>
      <c r="D24" s="59">
        <v>230682219</v>
      </c>
      <c r="E24" s="30" t="s">
        <v>8</v>
      </c>
      <c r="F24" s="30" t="s">
        <v>200</v>
      </c>
      <c r="G24" s="30">
        <v>39</v>
      </c>
      <c r="H24" s="30">
        <v>1</v>
      </c>
      <c r="I24" s="32">
        <v>50</v>
      </c>
      <c r="J24" s="32">
        <v>0</v>
      </c>
      <c r="K24" s="32">
        <v>0</v>
      </c>
      <c r="L24" s="32">
        <f t="shared" si="1"/>
        <v>50</v>
      </c>
      <c r="M24" s="30" t="s">
        <v>75</v>
      </c>
      <c r="N24" s="30" t="s">
        <v>20</v>
      </c>
      <c r="O24" s="29"/>
      <c r="P24" s="60">
        <v>45807</v>
      </c>
      <c r="Q24" s="211" t="s">
        <v>257</v>
      </c>
      <c r="T24" s="30" t="s">
        <v>5</v>
      </c>
      <c r="U24" s="32">
        <v>560</v>
      </c>
      <c r="V24" s="32">
        <v>0</v>
      </c>
      <c r="W24" s="32">
        <f>+Desp_Mai[[#This Row],[Base]]+Desp_Mai[[#This Row],[IVA ]]</f>
        <v>560</v>
      </c>
      <c r="X24" s="32" t="s">
        <v>75</v>
      </c>
      <c r="Y24" s="30" t="s">
        <v>15</v>
      </c>
    </row>
    <row r="25" spans="2:544" ht="21.6" customHeight="1">
      <c r="B25" s="60">
        <v>45799</v>
      </c>
      <c r="C25" s="211" t="s">
        <v>251</v>
      </c>
      <c r="D25" s="59">
        <v>239487168</v>
      </c>
      <c r="E25" s="30" t="s">
        <v>8</v>
      </c>
      <c r="F25" s="30" t="s">
        <v>199</v>
      </c>
      <c r="G25" s="30">
        <v>40</v>
      </c>
      <c r="H25" s="30">
        <v>1</v>
      </c>
      <c r="I25" s="32">
        <v>85</v>
      </c>
      <c r="J25" s="32">
        <v>0</v>
      </c>
      <c r="K25" s="32">
        <v>0</v>
      </c>
      <c r="L25" s="32">
        <f t="shared" si="1"/>
        <v>85</v>
      </c>
      <c r="M25" s="30" t="s">
        <v>75</v>
      </c>
      <c r="N25" s="30" t="s">
        <v>13</v>
      </c>
      <c r="P25" s="60">
        <v>45799</v>
      </c>
      <c r="Q25" s="211" t="s">
        <v>226</v>
      </c>
      <c r="T25" s="30" t="s">
        <v>5</v>
      </c>
      <c r="U25" s="57">
        <v>44.74</v>
      </c>
      <c r="V25" s="57">
        <v>0</v>
      </c>
      <c r="W25" s="57">
        <f>+Desp_Mai[[#This Row],[Base]]+Desp_Mai[[#This Row],[IVA ]]</f>
        <v>44.74</v>
      </c>
      <c r="X25" s="57" t="s">
        <v>75</v>
      </c>
      <c r="Y25" s="30" t="s">
        <v>15</v>
      </c>
    </row>
    <row r="26" spans="2:544" ht="21.6" customHeight="1">
      <c r="B26" s="60">
        <v>45800</v>
      </c>
      <c r="C26" s="211" t="s">
        <v>249</v>
      </c>
      <c r="D26" s="59">
        <v>230682219</v>
      </c>
      <c r="E26" s="30" t="s">
        <v>8</v>
      </c>
      <c r="F26" s="30" t="s">
        <v>200</v>
      </c>
      <c r="G26" s="30">
        <v>41</v>
      </c>
      <c r="H26" s="30">
        <v>1</v>
      </c>
      <c r="I26" s="32">
        <v>50</v>
      </c>
      <c r="J26" s="32">
        <v>0</v>
      </c>
      <c r="K26" s="32">
        <v>0</v>
      </c>
      <c r="L26" s="32">
        <f t="shared" si="1"/>
        <v>50</v>
      </c>
      <c r="M26" s="30" t="s">
        <v>75</v>
      </c>
      <c r="N26" s="30" t="s">
        <v>20</v>
      </c>
      <c r="P26" s="60">
        <v>45803</v>
      </c>
      <c r="Q26" s="211" t="s">
        <v>227</v>
      </c>
      <c r="T26" s="30" t="s">
        <v>5</v>
      </c>
      <c r="U26" s="57">
        <v>17.77</v>
      </c>
      <c r="V26" s="57">
        <v>0</v>
      </c>
      <c r="W26" s="57">
        <f>+Desp_Mai[[#This Row],[Base]]+Desp_Mai[[#This Row],[IVA ]]</f>
        <v>17.77</v>
      </c>
      <c r="X26" s="57" t="s">
        <v>75</v>
      </c>
      <c r="Y26" s="30" t="s">
        <v>214</v>
      </c>
    </row>
    <row r="27" spans="2:544" ht="21.6" customHeight="1">
      <c r="B27" s="60">
        <v>45801</v>
      </c>
      <c r="C27" s="211" t="s">
        <v>252</v>
      </c>
      <c r="D27" s="59">
        <v>178479691</v>
      </c>
      <c r="E27" s="30" t="s">
        <v>8</v>
      </c>
      <c r="F27" s="30" t="s">
        <v>201</v>
      </c>
      <c r="G27" s="30">
        <v>42</v>
      </c>
      <c r="H27" s="30">
        <v>1</v>
      </c>
      <c r="I27" s="32">
        <v>400</v>
      </c>
      <c r="J27" s="32">
        <v>0</v>
      </c>
      <c r="K27" s="32">
        <v>0</v>
      </c>
      <c r="L27" s="32">
        <f t="shared" si="1"/>
        <v>400</v>
      </c>
      <c r="M27" s="30" t="s">
        <v>75</v>
      </c>
      <c r="N27" s="30" t="s">
        <v>18</v>
      </c>
      <c r="P27" s="60">
        <v>45803</v>
      </c>
      <c r="Q27" s="211" t="s">
        <v>270</v>
      </c>
      <c r="T27" s="30" t="s">
        <v>5</v>
      </c>
      <c r="U27" s="57">
        <v>0.56000000000000005</v>
      </c>
      <c r="V27" s="57">
        <v>0</v>
      </c>
      <c r="W27" s="57">
        <f>+Desp_Mai[[#This Row],[Base]]+Desp_Mai[[#This Row],[IVA ]]</f>
        <v>0.56000000000000005</v>
      </c>
      <c r="X27" s="57" t="s">
        <v>75</v>
      </c>
      <c r="Y27" s="30" t="s">
        <v>214</v>
      </c>
    </row>
    <row r="28" spans="2:544" ht="21.6" customHeight="1">
      <c r="B28" s="60">
        <v>45804</v>
      </c>
      <c r="C28" s="211" t="s">
        <v>249</v>
      </c>
      <c r="D28" s="59">
        <v>230682219</v>
      </c>
      <c r="E28" s="30" t="s">
        <v>8</v>
      </c>
      <c r="F28" s="30" t="s">
        <v>200</v>
      </c>
      <c r="G28" s="30">
        <v>43</v>
      </c>
      <c r="H28" s="30">
        <v>1</v>
      </c>
      <c r="I28" s="32">
        <v>50</v>
      </c>
      <c r="J28" s="32">
        <v>0</v>
      </c>
      <c r="K28" s="32">
        <v>0</v>
      </c>
      <c r="L28" s="32">
        <f t="shared" si="1"/>
        <v>50</v>
      </c>
      <c r="M28" s="30" t="s">
        <v>75</v>
      </c>
      <c r="N28" s="30" t="s">
        <v>20</v>
      </c>
      <c r="P28" s="60">
        <v>45797</v>
      </c>
      <c r="Q28" s="211" t="s">
        <v>47</v>
      </c>
      <c r="T28" s="30" t="s">
        <v>5</v>
      </c>
      <c r="U28" s="57">
        <v>20</v>
      </c>
      <c r="V28" s="57">
        <v>0</v>
      </c>
      <c r="W28" s="57">
        <f>+Desp_Mai[[#This Row],[Base]]+Desp_Mai[[#This Row],[IVA ]]</f>
        <v>20</v>
      </c>
      <c r="X28" s="57" t="s">
        <v>75</v>
      </c>
      <c r="Y28" s="30" t="s">
        <v>15</v>
      </c>
    </row>
    <row r="29" spans="2:544" ht="21.6" customHeight="1">
      <c r="B29" s="60">
        <v>45784</v>
      </c>
      <c r="C29" s="211" t="s">
        <v>231</v>
      </c>
      <c r="D29" s="59">
        <v>0</v>
      </c>
      <c r="E29" s="30" t="s">
        <v>8</v>
      </c>
      <c r="F29" s="30" t="s">
        <v>201</v>
      </c>
      <c r="H29" s="30">
        <v>1</v>
      </c>
      <c r="I29" s="32">
        <v>308</v>
      </c>
      <c r="J29" s="32">
        <v>0</v>
      </c>
      <c r="K29" s="32">
        <v>0</v>
      </c>
      <c r="L29" s="32">
        <f t="shared" si="1"/>
        <v>308</v>
      </c>
      <c r="M29" s="30" t="s">
        <v>75</v>
      </c>
      <c r="N29" s="30" t="s">
        <v>18</v>
      </c>
      <c r="U29" s="57"/>
      <c r="V29" s="57"/>
      <c r="W29" s="57"/>
      <c r="X29" s="57"/>
    </row>
    <row r="30" spans="2:544" ht="21.6" customHeight="1">
      <c r="B30" s="60">
        <v>45806</v>
      </c>
      <c r="C30" s="211" t="s">
        <v>249</v>
      </c>
      <c r="D30" s="59">
        <v>230682219</v>
      </c>
      <c r="E30" s="30" t="s">
        <v>8</v>
      </c>
      <c r="F30" s="30" t="s">
        <v>200</v>
      </c>
      <c r="G30" s="30">
        <v>44</v>
      </c>
      <c r="H30" s="30">
        <v>1</v>
      </c>
      <c r="I30" s="32">
        <v>50</v>
      </c>
      <c r="J30" s="32">
        <v>0</v>
      </c>
      <c r="K30" s="32">
        <v>0</v>
      </c>
      <c r="L30" s="32">
        <f t="shared" si="1"/>
        <v>50</v>
      </c>
      <c r="M30" s="30" t="s">
        <v>75</v>
      </c>
      <c r="N30" s="30" t="s">
        <v>20</v>
      </c>
      <c r="U30" s="57"/>
      <c r="V30" s="57"/>
      <c r="W30" s="57"/>
      <c r="X30" s="57"/>
    </row>
    <row r="31" spans="2:544" ht="21.6" customHeight="1">
      <c r="B31" s="60">
        <v>45806</v>
      </c>
      <c r="C31" s="211" t="s">
        <v>248</v>
      </c>
      <c r="D31" s="59">
        <v>219466106</v>
      </c>
      <c r="E31" s="30" t="s">
        <v>8</v>
      </c>
      <c r="F31" s="30" t="s">
        <v>201</v>
      </c>
      <c r="G31" s="30">
        <v>45</v>
      </c>
      <c r="H31" s="30">
        <v>1</v>
      </c>
      <c r="I31" s="32">
        <v>400</v>
      </c>
      <c r="J31" s="32">
        <v>0</v>
      </c>
      <c r="K31" s="32">
        <v>0</v>
      </c>
      <c r="L31" s="32">
        <f t="shared" si="1"/>
        <v>400</v>
      </c>
      <c r="M31" s="30" t="s">
        <v>75</v>
      </c>
      <c r="N31" s="30" t="s">
        <v>13</v>
      </c>
      <c r="U31" s="57"/>
      <c r="V31" s="57"/>
      <c r="W31" s="57"/>
      <c r="X31" s="57"/>
    </row>
    <row r="32" spans="2:544" ht="21.6" customHeight="1">
      <c r="U32" s="57"/>
      <c r="V32" s="57"/>
      <c r="W32" s="57"/>
      <c r="X32" s="57"/>
    </row>
    <row r="33" spans="21:24" ht="21.6" customHeight="1">
      <c r="U33" s="57"/>
      <c r="V33" s="57"/>
      <c r="W33" s="57"/>
      <c r="X33" s="57"/>
    </row>
    <row r="34" spans="21:24" ht="21.6" customHeight="1">
      <c r="U34" s="57"/>
      <c r="V34" s="57"/>
      <c r="W34" s="57"/>
      <c r="X34" s="57"/>
    </row>
    <row r="35" spans="21:24" ht="21.6" customHeight="1">
      <c r="U35" s="57"/>
      <c r="V35" s="57"/>
      <c r="W35" s="57"/>
      <c r="X35" s="57"/>
    </row>
    <row r="36" spans="21:24" ht="21.6" customHeight="1">
      <c r="U36" s="57"/>
      <c r="V36" s="57"/>
      <c r="W36" s="57"/>
      <c r="X36" s="57"/>
    </row>
    <row r="37" spans="21:24" ht="21.6" customHeight="1">
      <c r="U37" s="57"/>
      <c r="V37" s="57"/>
      <c r="W37" s="57"/>
      <c r="X37" s="57"/>
    </row>
    <row r="38" spans="21:24" ht="21.6" customHeight="1">
      <c r="U38" s="57"/>
      <c r="V38" s="57"/>
      <c r="W38" s="57"/>
      <c r="X38" s="57"/>
    </row>
    <row r="39" spans="21:24" ht="21.6" customHeight="1">
      <c r="U39" s="57"/>
      <c r="V39" s="57"/>
      <c r="W39" s="57"/>
      <c r="X39" s="57"/>
    </row>
    <row r="40" spans="21:24" ht="21.6" customHeight="1">
      <c r="U40" s="57"/>
      <c r="V40" s="57"/>
      <c r="W40" s="57"/>
      <c r="X40" s="57"/>
    </row>
    <row r="41" spans="21:24" ht="21.6" customHeight="1">
      <c r="U41" s="57"/>
      <c r="V41" s="57"/>
      <c r="W41" s="57"/>
      <c r="X41" s="57"/>
    </row>
    <row r="42" spans="21:24" ht="21.6" customHeight="1">
      <c r="U42" s="57"/>
      <c r="V42" s="57"/>
      <c r="W42" s="57"/>
      <c r="X42" s="57"/>
    </row>
    <row r="43" spans="21:24" ht="21.6" customHeight="1">
      <c r="U43" s="57"/>
      <c r="V43" s="57"/>
      <c r="W43" s="57"/>
      <c r="X43" s="57"/>
    </row>
    <row r="44" spans="21:24" ht="21.6" customHeight="1">
      <c r="U44" s="57"/>
      <c r="V44" s="57"/>
      <c r="W44" s="57"/>
      <c r="X44" s="57"/>
    </row>
    <row r="45" spans="21:24" ht="21.6" customHeight="1">
      <c r="U45" s="57"/>
      <c r="V45" s="57"/>
      <c r="W45" s="57"/>
      <c r="X45" s="57"/>
    </row>
    <row r="46" spans="21:24" ht="21.6" customHeight="1">
      <c r="U46" s="57"/>
      <c r="V46" s="57"/>
      <c r="W46" s="57"/>
      <c r="X46" s="57"/>
    </row>
    <row r="47" spans="21:24" ht="21.6" customHeight="1">
      <c r="U47" s="57"/>
      <c r="V47" s="57"/>
      <c r="W47" s="57"/>
      <c r="X47" s="57"/>
    </row>
    <row r="48" spans="21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</sheetData>
  <mergeCells count="22">
    <mergeCell ref="G10:H10"/>
    <mergeCell ref="O7:P7"/>
    <mergeCell ref="U7:V7"/>
    <mergeCell ref="C8:D8"/>
    <mergeCell ref="G8:H8"/>
    <mergeCell ref="C9:D9"/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</mergeCells>
  <conditionalFormatting sqref="B4:C5 C6:C10 B7:B10">
    <cfRule type="expression" dxfId="131" priority="13">
      <formula>$B4="Resultado Líquido"</formula>
    </cfRule>
    <cfRule type="expression" dxfId="130" priority="14">
      <formula>OR($B4="Faturação",$B4="Despesas")</formula>
    </cfRule>
  </conditionalFormatting>
  <conditionalFormatting sqref="B11:C12">
    <cfRule type="expression" dxfId="129" priority="15">
      <formula>$B11="Resultado Líquido"</formula>
    </cfRule>
    <cfRule type="expression" dxfId="128" priority="16">
      <formula>OR($B11="Faturação",$B11="Despesas")</formula>
    </cfRule>
  </conditionalFormatting>
  <conditionalFormatting sqref="B23:C23 E23:M24 B24 B25:M25 B26 E26:M28 B27:C27 B28 B29:M29 B30:B31 E30:M31 B32:M1048576">
    <cfRule type="expression" dxfId="127" priority="22">
      <formula>$B23="Total"</formula>
    </cfRule>
  </conditionalFormatting>
  <conditionalFormatting sqref="D19:D21">
    <cfRule type="expression" dxfId="126" priority="8">
      <formula>$B19="Total"</formula>
    </cfRule>
  </conditionalFormatting>
  <conditionalFormatting sqref="D23:D24">
    <cfRule type="expression" dxfId="125" priority="6">
      <formula>$B23="Total"</formula>
    </cfRule>
  </conditionalFormatting>
  <conditionalFormatting sqref="D26:D28">
    <cfRule type="expression" dxfId="124" priority="2">
      <formula>$B26="Total"</formula>
    </cfRule>
  </conditionalFormatting>
  <conditionalFormatting sqref="D30">
    <cfRule type="expression" dxfId="123" priority="1">
      <formula>$B30="Total"</formula>
    </cfRule>
  </conditionalFormatting>
  <conditionalFormatting sqref="G5:G8">
    <cfRule type="expression" dxfId="122" priority="11">
      <formula>$B5="Resultado Líquido"</formula>
    </cfRule>
    <cfRule type="expression" dxfId="121" priority="12">
      <formula>OR($B5="Faturação",$B5="Despesas")</formula>
    </cfRule>
  </conditionalFormatting>
  <conditionalFormatting sqref="G10">
    <cfRule type="expression" dxfId="120" priority="9">
      <formula>$B10="Resultado Líquido"</formula>
    </cfRule>
    <cfRule type="expression" dxfId="119" priority="10">
      <formula>OR($B10="Faturação",$B10="Despesas")</formula>
    </cfRule>
  </conditionalFormatting>
  <conditionalFormatting sqref="O23:O24">
    <cfRule type="expression" dxfId="118" priority="23">
      <formula>#REF!="Total"</formula>
    </cfRule>
  </conditionalFormatting>
  <conditionalFormatting sqref="P15:Y1048576">
    <cfRule type="expression" dxfId="117" priority="21">
      <formula>$P15="Total"</formula>
    </cfRule>
  </conditionalFormatting>
  <dataValidations count="9">
    <dataValidation type="list" allowBlank="1" showInputMessage="1" showErrorMessage="1" sqref="T16:T28" xr:uid="{BB244E1C-B9B4-4E90-B4DB-5EC14D437F7E}">
      <formula1>Filtro_Desp</formula1>
    </dataValidation>
    <dataValidation type="list" allowBlank="1" showInputMessage="1" showErrorMessage="1" sqref="X16:X28" xr:uid="{C193D50E-E1C6-497F-A894-38BF3AADE668}">
      <formula1>"Pago,Pendente,Vencido"</formula1>
    </dataValidation>
    <dataValidation type="list" allowBlank="1" showErrorMessage="1" sqref="M16:M31" xr:uid="{C3A1602C-2E47-42C6-BD50-96A88DF3F9E0}">
      <formula1>"Pago,Pendente,Vencido"</formula1>
    </dataValidation>
    <dataValidation type="list" allowBlank="1" showInputMessage="1" showErrorMessage="1" sqref="E16:E31" xr:uid="{FEDF691D-17AD-4F47-85F5-59737D44319E}">
      <formula1>"Produtos,Serviços"</formula1>
    </dataValidation>
    <dataValidation type="list" allowBlank="1" showInputMessage="1" showErrorMessage="1" sqref="F16:F31" xr:uid="{6C28225C-9DED-4B84-94A5-5776EFE4A4BF}">
      <formula1>INDIRECT($E16)</formula1>
    </dataValidation>
    <dataValidation type="whole" allowBlank="1" showInputMessage="1" showErrorMessage="1" sqref="R16:R28 D16:D31" xr:uid="{D7D50077-515E-44F3-A420-A124CB62D3C8}">
      <formula1>0</formula1>
      <formula2>999999999</formula2>
    </dataValidation>
    <dataValidation type="date" allowBlank="1" showInputMessage="1" showErrorMessage="1" sqref="B16:B31 P16:P28" xr:uid="{F9D5F97A-5B39-4AC7-A6C4-39EF0E58B4B2}">
      <formula1>43831</formula1>
      <formula2>73050</formula2>
    </dataValidation>
    <dataValidation type="list" allowBlank="1" showErrorMessage="1" sqref="N16:N31" xr:uid="{AF6306A3-9630-4966-90CA-8EE6418302A5}">
      <formula1>Filtro_Pag</formula1>
    </dataValidation>
    <dataValidation type="list" allowBlank="1" showInputMessage="1" showErrorMessage="1" sqref="Y16:Y28" xr:uid="{127E1F62-11F8-459C-A4F9-1BDA7A956022}">
      <formula1>Filtro_Pag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57E8-4EE5-4E1E-9207-54BB42BB747B}">
  <sheetPr codeName="Folha10"/>
  <dimension ref="A1:TX1002"/>
  <sheetViews>
    <sheetView showGridLines="0" topLeftCell="A25" zoomScale="60" zoomScaleNormal="60" workbookViewId="0">
      <selection activeCell="I32" sqref="I32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18.664062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3.88671875" style="30" customWidth="1"/>
    <col min="18" max="18" width="14.6640625" style="59" customWidth="1"/>
    <col min="19" max="19" width="14.109375" style="30" customWidth="1"/>
    <col min="20" max="20" width="22.77734375" style="30" customWidth="1"/>
    <col min="21" max="24" width="12.44140625" style="32" customWidth="1"/>
    <col min="25" max="25" width="23.3320312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105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106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 t="s" cm="1">
        <v>72</v>
      </c>
      <c r="TS2" s="127" t="s" cm="1">
        <v>12</v>
      </c>
      <c r="TT2" s="127" cm="1">
        <v>120</v>
      </c>
      <c r="TU2" s="127"/>
      <c r="TV2" s="127" t="s" cm="1">
        <v>72</v>
      </c>
      <c r="TW2" s="127" t="s">
        <v>12</v>
      </c>
      <c r="TX2" s="127" cm="1">
        <v>120</v>
      </c>
    </row>
    <row r="3" spans="1:544" ht="36.9" customHeight="1">
      <c r="C3" s="233" t="s">
        <v>107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2830</v>
      </c>
      <c r="G5" s="235" t="s">
        <v>71</v>
      </c>
      <c r="H5" s="235"/>
      <c r="I5" s="166">
        <f ca="1">SUM(I6:I8)</f>
        <v>1983.3400000000001</v>
      </c>
      <c r="J5" s="31"/>
      <c r="K5" s="31"/>
      <c r="L5" s="170" t="s">
        <v>72</v>
      </c>
      <c r="M5" s="171">
        <f>+L14</f>
        <v>2830</v>
      </c>
      <c r="N5" s="168" t="s">
        <v>73</v>
      </c>
      <c r="O5" s="231">
        <f ca="1">+SUMIF(M16:M2599,"Pago",L16:L2499)</f>
        <v>2830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935</v>
      </c>
      <c r="F6" s="30"/>
      <c r="G6" s="234" t="s">
        <v>6</v>
      </c>
      <c r="H6" s="234"/>
      <c r="I6" s="167">
        <f ca="1">+SUMIF(T16:T199994,G6,U16:U4994)</f>
        <v>1167.17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455</v>
      </c>
      <c r="F7" s="30"/>
      <c r="G7" s="234" t="s">
        <v>5</v>
      </c>
      <c r="H7" s="234"/>
      <c r="I7" s="167">
        <f ca="1">+SUMIF(T16:T199994,G7,U16:U4994)</f>
        <v>816.17</v>
      </c>
      <c r="J7" s="32"/>
      <c r="K7" s="32"/>
      <c r="L7" s="170" t="s">
        <v>4</v>
      </c>
      <c r="M7" s="171">
        <f>+W14</f>
        <v>1989.5500000000002</v>
      </c>
      <c r="N7" s="168" t="s">
        <v>75</v>
      </c>
      <c r="O7" s="231">
        <f ca="1">+SUMIF(X16:X2599,"Pago",W16:W2499)</f>
        <v>1956.3400000000001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1440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846.65999999999985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+SUM(Fat_Jun[Base])</f>
        <v>2830</v>
      </c>
      <c r="J14" s="52">
        <f>+SUM(Fat_Jun[[IVA ]])</f>
        <v>0</v>
      </c>
      <c r="K14" s="52">
        <f>+SUM(Fat_Jun[Retenção])</f>
        <v>0</v>
      </c>
      <c r="L14" s="52">
        <f>+SUM(Fat_Jun[Total])</f>
        <v>2830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+SUM(Desp_Jun[Base])</f>
        <v>1983.3400000000001</v>
      </c>
      <c r="V14" s="52">
        <f>SUM(Desp_Jun[[IVA ]])</f>
        <v>6.21</v>
      </c>
      <c r="W14" s="52">
        <f>SUM(Desp_Jun[Total])</f>
        <v>1989.5500000000002</v>
      </c>
      <c r="X14" s="133"/>
      <c r="Y14" s="133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60">
        <v>45810</v>
      </c>
      <c r="C16" s="211" t="s">
        <v>244</v>
      </c>
      <c r="D16" s="59">
        <v>230682219</v>
      </c>
      <c r="E16" s="30" t="s">
        <v>8</v>
      </c>
      <c r="F16" s="30" t="s">
        <v>200</v>
      </c>
      <c r="G16" s="30">
        <v>46</v>
      </c>
      <c r="H16" s="30">
        <v>1</v>
      </c>
      <c r="I16" s="32">
        <v>50</v>
      </c>
      <c r="J16" s="32">
        <v>0</v>
      </c>
      <c r="K16" s="32">
        <v>0</v>
      </c>
      <c r="L16" s="32">
        <f>+I16+J16-K16</f>
        <v>50</v>
      </c>
      <c r="M16" s="30" t="s">
        <v>75</v>
      </c>
      <c r="N16" s="30" t="s">
        <v>20</v>
      </c>
      <c r="O16" s="29"/>
      <c r="P16" s="60">
        <v>45809</v>
      </c>
      <c r="Q16" s="211" t="s">
        <v>47</v>
      </c>
      <c r="T16" s="30" t="s">
        <v>5</v>
      </c>
      <c r="U16" s="32">
        <v>97.11</v>
      </c>
      <c r="V16" s="32">
        <v>0</v>
      </c>
      <c r="W16" s="32">
        <f>+Desp_Jun[[#This Row],[Base]]+Desp_Jun[[#This Row],[IVA ]]</f>
        <v>97.11</v>
      </c>
      <c r="X16" s="32" t="s">
        <v>75</v>
      </c>
      <c r="Y16" s="138" t="s">
        <v>15</v>
      </c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60">
        <v>45811</v>
      </c>
      <c r="C17" s="211" t="s">
        <v>258</v>
      </c>
      <c r="D17" s="59">
        <v>203406788</v>
      </c>
      <c r="E17" s="30" t="s">
        <v>8</v>
      </c>
      <c r="F17" s="30" t="s">
        <v>199</v>
      </c>
      <c r="G17" s="30">
        <v>47</v>
      </c>
      <c r="H17" s="30">
        <v>1</v>
      </c>
      <c r="I17" s="32">
        <v>85</v>
      </c>
      <c r="J17" s="32">
        <v>0</v>
      </c>
      <c r="K17" s="32">
        <v>0</v>
      </c>
      <c r="L17" s="32">
        <f t="shared" ref="L17:L18" si="0">+I17+J17-K17</f>
        <v>85</v>
      </c>
      <c r="M17" s="30" t="s">
        <v>75</v>
      </c>
      <c r="N17" s="30" t="s">
        <v>20</v>
      </c>
      <c r="O17" s="29"/>
      <c r="P17" s="60">
        <v>45810</v>
      </c>
      <c r="Q17" s="211" t="s">
        <v>271</v>
      </c>
      <c r="T17" s="30" t="s">
        <v>6</v>
      </c>
      <c r="U17" s="32">
        <v>156.91999999999999</v>
      </c>
      <c r="V17" s="32">
        <v>0</v>
      </c>
      <c r="W17" s="32">
        <f>+Desp_Jun[[#This Row],[Base]]+Desp_Jun[[#This Row],[IVA ]]</f>
        <v>156.91999999999999</v>
      </c>
      <c r="X17" s="32" t="s">
        <v>75</v>
      </c>
      <c r="Y17" s="138" t="s">
        <v>214</v>
      </c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60">
        <v>45812</v>
      </c>
      <c r="C18" s="211" t="s">
        <v>243</v>
      </c>
      <c r="D18" s="59">
        <v>234558504</v>
      </c>
      <c r="E18" s="30" t="s">
        <v>8</v>
      </c>
      <c r="F18" s="30" t="s">
        <v>201</v>
      </c>
      <c r="G18" s="30">
        <v>48</v>
      </c>
      <c r="H18" s="30">
        <v>1</v>
      </c>
      <c r="I18" s="32">
        <v>400</v>
      </c>
      <c r="J18" s="32">
        <v>0</v>
      </c>
      <c r="K18" s="32">
        <v>0</v>
      </c>
      <c r="L18" s="32">
        <f t="shared" si="0"/>
        <v>400</v>
      </c>
      <c r="M18" s="30" t="s">
        <v>75</v>
      </c>
      <c r="N18" s="30" t="s">
        <v>20</v>
      </c>
      <c r="O18" s="29"/>
      <c r="P18" s="60">
        <v>45811</v>
      </c>
      <c r="Q18" s="211" t="s">
        <v>212</v>
      </c>
      <c r="T18" s="30" t="s">
        <v>5</v>
      </c>
      <c r="U18" s="32">
        <v>280</v>
      </c>
      <c r="V18" s="32">
        <v>0</v>
      </c>
      <c r="W18" s="32">
        <f>+Desp_Jun[[#This Row],[Base]]+Desp_Jun[[#This Row],[IVA ]]</f>
        <v>280</v>
      </c>
      <c r="X18" s="32" t="s">
        <v>75</v>
      </c>
      <c r="Y18" s="138" t="s">
        <v>15</v>
      </c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60">
        <v>45813</v>
      </c>
      <c r="C19" s="211" t="s">
        <v>244</v>
      </c>
      <c r="D19" s="59">
        <v>230682219</v>
      </c>
      <c r="E19" s="30" t="s">
        <v>8</v>
      </c>
      <c r="F19" s="30" t="s">
        <v>200</v>
      </c>
      <c r="G19" s="30">
        <v>49</v>
      </c>
      <c r="H19" s="30">
        <v>1</v>
      </c>
      <c r="I19" s="32">
        <v>50</v>
      </c>
      <c r="J19" s="32">
        <v>0</v>
      </c>
      <c r="K19" s="32">
        <v>0</v>
      </c>
      <c r="L19" s="32">
        <f t="shared" ref="L19:L22" si="1">+I19+J19-K19</f>
        <v>50</v>
      </c>
      <c r="M19" s="30" t="s">
        <v>75</v>
      </c>
      <c r="N19" s="30" t="s">
        <v>20</v>
      </c>
      <c r="O19" s="29"/>
      <c r="P19" s="60">
        <v>45811</v>
      </c>
      <c r="Q19" s="211" t="s">
        <v>237</v>
      </c>
      <c r="T19" s="30" t="s">
        <v>5</v>
      </c>
      <c r="U19" s="32">
        <v>200</v>
      </c>
      <c r="V19" s="32">
        <v>0</v>
      </c>
      <c r="W19" s="32">
        <f>+Desp_Jun[[#This Row],[Base]]+Desp_Jun[[#This Row],[IVA ]]</f>
        <v>200</v>
      </c>
      <c r="X19" s="32" t="s">
        <v>75</v>
      </c>
      <c r="Y19" s="30" t="s">
        <v>15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60">
        <v>45815</v>
      </c>
      <c r="C20" s="211" t="s">
        <v>259</v>
      </c>
      <c r="D20" s="59">
        <v>295081457</v>
      </c>
      <c r="E20" s="30" t="s">
        <v>8</v>
      </c>
      <c r="F20" s="30" t="s">
        <v>201</v>
      </c>
      <c r="G20" s="30">
        <v>50</v>
      </c>
      <c r="H20" s="30">
        <v>1</v>
      </c>
      <c r="I20" s="32">
        <v>400</v>
      </c>
      <c r="J20" s="32">
        <v>0</v>
      </c>
      <c r="K20" s="32">
        <v>0</v>
      </c>
      <c r="L20" s="32">
        <f t="shared" si="1"/>
        <v>400</v>
      </c>
      <c r="M20" s="30" t="s">
        <v>75</v>
      </c>
      <c r="N20" s="30" t="s">
        <v>20</v>
      </c>
      <c r="O20" s="29"/>
      <c r="P20" s="60">
        <v>45812</v>
      </c>
      <c r="Q20" s="30" t="s">
        <v>213</v>
      </c>
      <c r="T20" s="30" t="s">
        <v>5</v>
      </c>
      <c r="U20" s="32">
        <v>27</v>
      </c>
      <c r="V20" s="32">
        <f>+Desp_Jun[[#This Row],[Base]]*0.23</f>
        <v>6.21</v>
      </c>
      <c r="W20" s="32">
        <f>+Desp_Jun[[#This Row],[Base]]+Desp_Jun[[#This Row],[IVA ]]</f>
        <v>33.21</v>
      </c>
      <c r="Y20" s="30" t="s">
        <v>214</v>
      </c>
    </row>
    <row r="21" spans="2:544" ht="21.6" customHeight="1">
      <c r="B21" s="60">
        <v>45821</v>
      </c>
      <c r="C21" s="211" t="s">
        <v>260</v>
      </c>
      <c r="D21" s="59">
        <v>283743719</v>
      </c>
      <c r="E21" s="30" t="s">
        <v>8</v>
      </c>
      <c r="F21" s="30" t="s">
        <v>199</v>
      </c>
      <c r="G21" s="30">
        <v>51</v>
      </c>
      <c r="H21" s="30">
        <v>1</v>
      </c>
      <c r="I21" s="32">
        <v>85</v>
      </c>
      <c r="J21" s="32">
        <v>0</v>
      </c>
      <c r="K21" s="32">
        <v>0</v>
      </c>
      <c r="L21" s="32">
        <f t="shared" si="1"/>
        <v>85</v>
      </c>
      <c r="M21" s="30" t="s">
        <v>75</v>
      </c>
      <c r="N21" s="30" t="s">
        <v>20</v>
      </c>
      <c r="O21" s="29"/>
      <c r="P21" s="60">
        <v>45820</v>
      </c>
      <c r="Q21" s="30" t="s">
        <v>216</v>
      </c>
      <c r="T21" s="30" t="s">
        <v>5</v>
      </c>
      <c r="U21" s="32">
        <v>143.02000000000001</v>
      </c>
      <c r="V21" s="32">
        <v>0</v>
      </c>
      <c r="W21" s="32">
        <f>+Desp_Jun[[#This Row],[Base]]+Desp_Jun[[#This Row],[IVA ]]</f>
        <v>143.02000000000001</v>
      </c>
      <c r="X21" s="32" t="s">
        <v>75</v>
      </c>
      <c r="Y21" s="30" t="s">
        <v>214</v>
      </c>
    </row>
    <row r="22" spans="2:544" ht="21.6" customHeight="1">
      <c r="B22" s="60">
        <v>45821</v>
      </c>
      <c r="C22" s="211" t="s">
        <v>261</v>
      </c>
      <c r="D22" s="59">
        <v>248912062</v>
      </c>
      <c r="E22" s="30" t="s">
        <v>8</v>
      </c>
      <c r="F22" s="30" t="s">
        <v>199</v>
      </c>
      <c r="G22" s="30">
        <v>52</v>
      </c>
      <c r="H22" s="30">
        <v>1</v>
      </c>
      <c r="I22" s="32">
        <v>85</v>
      </c>
      <c r="J22" s="32">
        <v>0</v>
      </c>
      <c r="K22" s="32">
        <v>0</v>
      </c>
      <c r="L22" s="32">
        <f t="shared" si="1"/>
        <v>85</v>
      </c>
      <c r="M22" s="30" t="s">
        <v>75</v>
      </c>
      <c r="N22" s="30" t="s">
        <v>20</v>
      </c>
      <c r="O22" s="29"/>
      <c r="P22" s="60">
        <v>45818</v>
      </c>
      <c r="Q22" s="30" t="s">
        <v>272</v>
      </c>
      <c r="T22" s="30" t="s">
        <v>5</v>
      </c>
      <c r="U22" s="32">
        <v>4.99</v>
      </c>
      <c r="V22" s="32">
        <v>0</v>
      </c>
      <c r="W22" s="32">
        <f>+Desp_Jun[[#This Row],[Base]]+Desp_Jun[[#This Row],[IVA ]]</f>
        <v>4.99</v>
      </c>
      <c r="X22" s="32" t="s">
        <v>75</v>
      </c>
      <c r="Y22" s="30" t="s">
        <v>214</v>
      </c>
    </row>
    <row r="23" spans="2:544" ht="21.6" customHeight="1">
      <c r="B23" s="60">
        <v>45821</v>
      </c>
      <c r="C23" s="211" t="s">
        <v>244</v>
      </c>
      <c r="D23" s="59">
        <v>230682219</v>
      </c>
      <c r="E23" s="30" t="s">
        <v>8</v>
      </c>
      <c r="F23" s="30" t="s">
        <v>200</v>
      </c>
      <c r="G23" s="30">
        <v>53</v>
      </c>
      <c r="H23" s="30">
        <v>1</v>
      </c>
      <c r="I23" s="32">
        <v>50</v>
      </c>
      <c r="J23" s="32">
        <v>0</v>
      </c>
      <c r="K23" s="32">
        <v>0</v>
      </c>
      <c r="L23" s="32">
        <f t="shared" ref="L23:L40" si="2">+I23+J23-K23</f>
        <v>50</v>
      </c>
      <c r="M23" s="30" t="s">
        <v>75</v>
      </c>
      <c r="N23" s="30" t="s">
        <v>20</v>
      </c>
      <c r="O23" s="29"/>
      <c r="P23" s="60">
        <v>45818</v>
      </c>
      <c r="Q23" s="30" t="s">
        <v>273</v>
      </c>
      <c r="T23" s="30" t="s">
        <v>5</v>
      </c>
      <c r="U23" s="32">
        <v>0.2</v>
      </c>
      <c r="V23" s="32">
        <v>0</v>
      </c>
      <c r="W23" s="32">
        <f>+Desp_Jun[[#This Row],[Base]]+Desp_Jun[[#This Row],[IVA ]]</f>
        <v>0.2</v>
      </c>
      <c r="X23" s="32" t="s">
        <v>75</v>
      </c>
      <c r="Y23" s="30" t="s">
        <v>214</v>
      </c>
    </row>
    <row r="24" spans="2:544" ht="21.6" customHeight="1">
      <c r="B24" s="60">
        <v>45825</v>
      </c>
      <c r="C24" s="211" t="s">
        <v>244</v>
      </c>
      <c r="D24" s="59">
        <v>230682219</v>
      </c>
      <c r="E24" s="30" t="s">
        <v>8</v>
      </c>
      <c r="F24" s="30" t="s">
        <v>200</v>
      </c>
      <c r="G24" s="30">
        <v>54</v>
      </c>
      <c r="H24" s="30">
        <v>1</v>
      </c>
      <c r="I24" s="32">
        <v>50</v>
      </c>
      <c r="J24" s="32">
        <v>0</v>
      </c>
      <c r="K24" s="32">
        <v>0</v>
      </c>
      <c r="L24" s="32">
        <f t="shared" si="2"/>
        <v>50</v>
      </c>
      <c r="M24" s="30" t="s">
        <v>75</v>
      </c>
      <c r="N24" s="30" t="s">
        <v>20</v>
      </c>
      <c r="O24" s="29"/>
      <c r="P24" s="60">
        <v>45833</v>
      </c>
      <c r="Q24" s="30" t="s">
        <v>274</v>
      </c>
      <c r="T24" s="30" t="s">
        <v>5</v>
      </c>
      <c r="U24" s="32">
        <v>0.54</v>
      </c>
      <c r="V24" s="32">
        <v>0</v>
      </c>
      <c r="W24" s="32">
        <f>+Desp_Jun[[#This Row],[Base]]+Desp_Jun[[#This Row],[IVA ]]</f>
        <v>0.54</v>
      </c>
      <c r="X24" s="32" t="s">
        <v>75</v>
      </c>
      <c r="Y24" s="30" t="s">
        <v>214</v>
      </c>
    </row>
    <row r="25" spans="2:544" ht="21.6" customHeight="1">
      <c r="B25" s="60">
        <v>45825</v>
      </c>
      <c r="C25" s="211" t="s">
        <v>262</v>
      </c>
      <c r="D25" s="59">
        <v>193576503</v>
      </c>
      <c r="E25" s="30" t="s">
        <v>8</v>
      </c>
      <c r="F25" s="30" t="s">
        <v>199</v>
      </c>
      <c r="G25" s="30">
        <v>55</v>
      </c>
      <c r="H25" s="30">
        <v>1</v>
      </c>
      <c r="I25" s="32">
        <v>85</v>
      </c>
      <c r="J25" s="32">
        <v>0</v>
      </c>
      <c r="K25" s="32">
        <v>0</v>
      </c>
      <c r="L25" s="32">
        <f t="shared" si="2"/>
        <v>85</v>
      </c>
      <c r="M25" s="30" t="s">
        <v>75</v>
      </c>
      <c r="N25" s="30" t="s">
        <v>18</v>
      </c>
      <c r="O25" s="29"/>
      <c r="P25" s="60">
        <v>45833</v>
      </c>
      <c r="Q25" s="30" t="s">
        <v>227</v>
      </c>
      <c r="T25" s="30" t="s">
        <v>5</v>
      </c>
      <c r="U25" s="32">
        <v>17.41</v>
      </c>
      <c r="V25" s="32">
        <v>0</v>
      </c>
      <c r="W25" s="32">
        <f>+Desp_Jun[[#This Row],[Base]]+Desp_Jun[[#This Row],[IVA ]]</f>
        <v>17.41</v>
      </c>
      <c r="X25" s="32" t="s">
        <v>75</v>
      </c>
      <c r="Y25" s="30" t="s">
        <v>214</v>
      </c>
    </row>
    <row r="26" spans="2:544" ht="21.6" customHeight="1">
      <c r="B26" s="60">
        <v>45826</v>
      </c>
      <c r="C26" s="211" t="s">
        <v>248</v>
      </c>
      <c r="D26" s="59">
        <v>219466106</v>
      </c>
      <c r="E26" s="30" t="s">
        <v>8</v>
      </c>
      <c r="F26" s="30" t="s">
        <v>201</v>
      </c>
      <c r="G26" s="30">
        <v>56</v>
      </c>
      <c r="H26" s="30">
        <v>1</v>
      </c>
      <c r="I26" s="32">
        <v>40</v>
      </c>
      <c r="J26" s="32">
        <v>0</v>
      </c>
      <c r="K26" s="32">
        <v>0</v>
      </c>
      <c r="L26" s="32">
        <f t="shared" si="2"/>
        <v>40</v>
      </c>
      <c r="M26" s="30" t="s">
        <v>75</v>
      </c>
      <c r="N26" s="30" t="s">
        <v>13</v>
      </c>
      <c r="O26" s="29"/>
      <c r="P26" s="60">
        <v>45835</v>
      </c>
      <c r="Q26" s="30" t="s">
        <v>275</v>
      </c>
      <c r="T26" s="30" t="s">
        <v>6</v>
      </c>
      <c r="U26" s="32">
        <v>300</v>
      </c>
      <c r="V26" s="32">
        <v>0</v>
      </c>
      <c r="W26" s="32">
        <f>+Desp_Jun[[#This Row],[Base]]+Desp_Jun[[#This Row],[IVA ]]</f>
        <v>300</v>
      </c>
      <c r="X26" s="32" t="s">
        <v>75</v>
      </c>
      <c r="Y26" s="30" t="s">
        <v>15</v>
      </c>
    </row>
    <row r="27" spans="2:544" ht="21.6" customHeight="1">
      <c r="B27" s="60">
        <v>45826</v>
      </c>
      <c r="C27" s="211" t="s">
        <v>244</v>
      </c>
      <c r="D27" s="59">
        <v>230682219</v>
      </c>
      <c r="E27" s="30" t="s">
        <v>8</v>
      </c>
      <c r="F27" s="30" t="s">
        <v>200</v>
      </c>
      <c r="G27" s="30">
        <v>57</v>
      </c>
      <c r="H27" s="30">
        <v>1</v>
      </c>
      <c r="I27" s="32">
        <v>50</v>
      </c>
      <c r="J27" s="32">
        <v>0</v>
      </c>
      <c r="K27" s="32">
        <v>0</v>
      </c>
      <c r="L27" s="32">
        <f t="shared" si="2"/>
        <v>50</v>
      </c>
      <c r="M27" s="30" t="s">
        <v>75</v>
      </c>
      <c r="N27" s="30" t="s">
        <v>20</v>
      </c>
      <c r="P27" s="60">
        <v>45838</v>
      </c>
      <c r="Q27" s="30" t="s">
        <v>276</v>
      </c>
      <c r="T27" s="30" t="s">
        <v>5</v>
      </c>
      <c r="U27" s="57">
        <v>45.9</v>
      </c>
      <c r="V27" s="57">
        <v>0</v>
      </c>
      <c r="W27" s="57">
        <f>+Desp_Jun[[#This Row],[Base]]+Desp_Jun[[#This Row],[IVA ]]</f>
        <v>45.9</v>
      </c>
      <c r="X27" s="57" t="s">
        <v>75</v>
      </c>
      <c r="Y27" s="30" t="s">
        <v>15</v>
      </c>
    </row>
    <row r="28" spans="2:544" ht="21.6" customHeight="1">
      <c r="B28" s="60">
        <v>45826</v>
      </c>
      <c r="C28" s="211" t="s">
        <v>263</v>
      </c>
      <c r="D28" s="59">
        <v>236578499</v>
      </c>
      <c r="E28" s="30" t="s">
        <v>8</v>
      </c>
      <c r="F28" s="30" t="s">
        <v>199</v>
      </c>
      <c r="G28" s="30">
        <v>58</v>
      </c>
      <c r="H28" s="30">
        <v>1</v>
      </c>
      <c r="I28" s="32">
        <v>85</v>
      </c>
      <c r="J28" s="32">
        <v>0</v>
      </c>
      <c r="K28" s="32">
        <v>0</v>
      </c>
      <c r="L28" s="32">
        <f t="shared" si="2"/>
        <v>85</v>
      </c>
      <c r="M28" s="30" t="s">
        <v>75</v>
      </c>
      <c r="N28" s="30" t="s">
        <v>18</v>
      </c>
      <c r="P28" s="60">
        <v>45838</v>
      </c>
      <c r="Q28" s="30" t="s">
        <v>277</v>
      </c>
      <c r="T28" s="30" t="s">
        <v>6</v>
      </c>
      <c r="U28" s="57">
        <v>710.25</v>
      </c>
      <c r="V28" s="57">
        <v>0</v>
      </c>
      <c r="W28" s="57">
        <f>+Desp_Jun[[#This Row],[Base]]+Desp_Jun[[#This Row],[IVA ]]</f>
        <v>710.25</v>
      </c>
      <c r="X28" s="57" t="s">
        <v>75</v>
      </c>
      <c r="Y28" s="30" t="s">
        <v>15</v>
      </c>
    </row>
    <row r="29" spans="2:544" ht="21.6" customHeight="1">
      <c r="B29" s="60">
        <v>45826</v>
      </c>
      <c r="C29" s="211" t="s">
        <v>264</v>
      </c>
      <c r="D29" s="59">
        <v>289723299</v>
      </c>
      <c r="E29" s="30" t="s">
        <v>8</v>
      </c>
      <c r="F29" s="30" t="s">
        <v>199</v>
      </c>
      <c r="G29" s="30">
        <v>59</v>
      </c>
      <c r="H29" s="30">
        <v>1</v>
      </c>
      <c r="I29" s="32">
        <v>85</v>
      </c>
      <c r="J29" s="32">
        <v>0</v>
      </c>
      <c r="K29" s="32">
        <v>0</v>
      </c>
      <c r="L29" s="32">
        <f t="shared" si="2"/>
        <v>85</v>
      </c>
      <c r="M29" s="30" t="s">
        <v>75</v>
      </c>
      <c r="N29" s="30" t="s">
        <v>20</v>
      </c>
      <c r="O29" s="2"/>
      <c r="U29" s="57"/>
      <c r="V29" s="57"/>
      <c r="W29" s="57"/>
      <c r="X29" s="57"/>
      <c r="Z29" s="2"/>
    </row>
    <row r="30" spans="2:544" ht="21.6" customHeight="1">
      <c r="B30" s="60">
        <v>45826</v>
      </c>
      <c r="C30" s="211" t="s">
        <v>265</v>
      </c>
      <c r="D30" s="59">
        <v>199956677</v>
      </c>
      <c r="E30" s="30" t="s">
        <v>8</v>
      </c>
      <c r="F30" s="30" t="s">
        <v>199</v>
      </c>
      <c r="G30" s="30">
        <v>60</v>
      </c>
      <c r="H30" s="30">
        <v>1</v>
      </c>
      <c r="I30" s="32">
        <v>85</v>
      </c>
      <c r="J30" s="32">
        <v>0</v>
      </c>
      <c r="K30" s="32">
        <v>0</v>
      </c>
      <c r="L30" s="32">
        <f t="shared" si="2"/>
        <v>85</v>
      </c>
      <c r="M30" s="30" t="s">
        <v>75</v>
      </c>
      <c r="N30" s="30" t="s">
        <v>20</v>
      </c>
      <c r="U30" s="57"/>
      <c r="V30" s="57"/>
      <c r="W30" s="57"/>
      <c r="X30" s="57"/>
    </row>
    <row r="31" spans="2:544" ht="21.6" customHeight="1">
      <c r="B31" s="60">
        <v>45831</v>
      </c>
      <c r="C31" s="211" t="s">
        <v>266</v>
      </c>
      <c r="D31" s="59">
        <v>180062468</v>
      </c>
      <c r="E31" s="30" t="s">
        <v>8</v>
      </c>
      <c r="F31" s="30" t="s">
        <v>199</v>
      </c>
      <c r="G31" s="30">
        <v>61</v>
      </c>
      <c r="H31" s="30">
        <v>1</v>
      </c>
      <c r="I31" s="32">
        <v>85</v>
      </c>
      <c r="J31" s="32">
        <v>0</v>
      </c>
      <c r="K31" s="32">
        <v>0</v>
      </c>
      <c r="L31" s="32">
        <f t="shared" si="2"/>
        <v>85</v>
      </c>
      <c r="M31" s="30" t="s">
        <v>75</v>
      </c>
      <c r="N31" s="30" t="s">
        <v>20</v>
      </c>
      <c r="U31" s="57"/>
      <c r="V31" s="57"/>
      <c r="W31" s="57"/>
      <c r="X31" s="57"/>
    </row>
    <row r="32" spans="2:544" ht="21.6" customHeight="1">
      <c r="B32" s="60">
        <v>45832</v>
      </c>
      <c r="C32" s="211" t="s">
        <v>260</v>
      </c>
      <c r="D32" s="59">
        <v>283743719</v>
      </c>
      <c r="E32" s="30" t="s">
        <v>8</v>
      </c>
      <c r="F32" s="30" t="s">
        <v>201</v>
      </c>
      <c r="G32" s="30">
        <v>62</v>
      </c>
      <c r="H32" s="30">
        <v>1</v>
      </c>
      <c r="I32" s="32">
        <v>400</v>
      </c>
      <c r="J32" s="32">
        <v>0</v>
      </c>
      <c r="K32" s="32">
        <v>0</v>
      </c>
      <c r="L32" s="32">
        <f t="shared" si="2"/>
        <v>400</v>
      </c>
      <c r="M32" s="30" t="s">
        <v>75</v>
      </c>
      <c r="N32" s="30" t="s">
        <v>20</v>
      </c>
      <c r="U32" s="57"/>
      <c r="V32" s="57"/>
      <c r="W32" s="57"/>
      <c r="X32" s="57"/>
    </row>
    <row r="33" spans="2:24" ht="21.6" customHeight="1">
      <c r="B33" s="60">
        <v>45832</v>
      </c>
      <c r="C33" s="211" t="s">
        <v>244</v>
      </c>
      <c r="D33" s="59">
        <v>230682219</v>
      </c>
      <c r="E33" s="30" t="s">
        <v>8</v>
      </c>
      <c r="F33" s="30" t="s">
        <v>200</v>
      </c>
      <c r="G33" s="30">
        <v>63</v>
      </c>
      <c r="H33" s="30">
        <v>1</v>
      </c>
      <c r="I33" s="32">
        <v>50</v>
      </c>
      <c r="J33" s="32">
        <v>0</v>
      </c>
      <c r="K33" s="32">
        <v>0</v>
      </c>
      <c r="L33" s="32">
        <f t="shared" si="2"/>
        <v>50</v>
      </c>
      <c r="M33" s="30" t="s">
        <v>75</v>
      </c>
      <c r="N33" s="30" t="s">
        <v>20</v>
      </c>
      <c r="U33" s="57"/>
      <c r="V33" s="57"/>
      <c r="W33" s="57"/>
      <c r="X33" s="57"/>
    </row>
    <row r="34" spans="2:24" ht="21.6" customHeight="1">
      <c r="B34" s="60">
        <v>45834</v>
      </c>
      <c r="C34" s="211" t="s">
        <v>261</v>
      </c>
      <c r="D34" s="59">
        <v>248912062</v>
      </c>
      <c r="E34" s="30" t="s">
        <v>8</v>
      </c>
      <c r="F34" s="30" t="s">
        <v>200</v>
      </c>
      <c r="G34" s="30">
        <v>64</v>
      </c>
      <c r="H34" s="30">
        <v>1</v>
      </c>
      <c r="I34" s="32">
        <v>50</v>
      </c>
      <c r="J34" s="32">
        <v>0</v>
      </c>
      <c r="K34" s="32">
        <v>0</v>
      </c>
      <c r="L34" s="32">
        <f t="shared" si="2"/>
        <v>50</v>
      </c>
      <c r="M34" s="30" t="s">
        <v>75</v>
      </c>
      <c r="N34" s="30" t="s">
        <v>20</v>
      </c>
      <c r="U34" s="57"/>
      <c r="V34" s="57"/>
      <c r="W34" s="57"/>
      <c r="X34" s="57"/>
    </row>
    <row r="35" spans="2:24" ht="21.6" customHeight="1">
      <c r="B35" s="60">
        <v>45833</v>
      </c>
      <c r="C35" s="211" t="s">
        <v>267</v>
      </c>
      <c r="D35" s="59">
        <v>0</v>
      </c>
      <c r="E35" s="30" t="s">
        <v>8</v>
      </c>
      <c r="F35" s="30" t="s">
        <v>199</v>
      </c>
      <c r="H35" s="30">
        <v>1</v>
      </c>
      <c r="I35" s="32">
        <v>85</v>
      </c>
      <c r="J35" s="32">
        <v>0</v>
      </c>
      <c r="K35" s="32">
        <v>0</v>
      </c>
      <c r="L35" s="32">
        <f t="shared" si="2"/>
        <v>85</v>
      </c>
      <c r="M35" s="30" t="s">
        <v>75</v>
      </c>
      <c r="N35" s="30" t="s">
        <v>20</v>
      </c>
      <c r="U35" s="57"/>
      <c r="V35" s="57"/>
      <c r="W35" s="57"/>
      <c r="X35" s="57"/>
    </row>
    <row r="36" spans="2:24" ht="21.6" customHeight="1">
      <c r="B36" s="60">
        <v>45804</v>
      </c>
      <c r="C36" s="211" t="s">
        <v>262</v>
      </c>
      <c r="D36" s="59">
        <v>193576503</v>
      </c>
      <c r="E36" s="30" t="s">
        <v>8</v>
      </c>
      <c r="F36" s="30" t="s">
        <v>201</v>
      </c>
      <c r="G36" s="30">
        <v>66</v>
      </c>
      <c r="H36" s="30">
        <v>1</v>
      </c>
      <c r="I36" s="32">
        <v>200</v>
      </c>
      <c r="J36" s="32">
        <v>0</v>
      </c>
      <c r="K36" s="32">
        <v>0</v>
      </c>
      <c r="L36" s="32">
        <f t="shared" si="2"/>
        <v>200</v>
      </c>
      <c r="M36" s="30" t="s">
        <v>75</v>
      </c>
      <c r="N36" s="30" t="s">
        <v>18</v>
      </c>
      <c r="U36" s="57"/>
      <c r="V36" s="57"/>
      <c r="W36" s="57"/>
      <c r="X36" s="57"/>
    </row>
    <row r="37" spans="2:24" ht="21.6" customHeight="1">
      <c r="B37" s="60">
        <v>45804</v>
      </c>
      <c r="C37" s="211" t="s">
        <v>261</v>
      </c>
      <c r="D37" s="59">
        <v>248912062</v>
      </c>
      <c r="E37" s="30" t="s">
        <v>8</v>
      </c>
      <c r="F37" s="30" t="s">
        <v>200</v>
      </c>
      <c r="G37" s="30">
        <v>65</v>
      </c>
      <c r="H37" s="30">
        <v>1</v>
      </c>
      <c r="I37" s="32">
        <v>50</v>
      </c>
      <c r="J37" s="32">
        <v>0</v>
      </c>
      <c r="K37" s="32">
        <v>0</v>
      </c>
      <c r="L37" s="32">
        <f t="shared" si="2"/>
        <v>50</v>
      </c>
      <c r="M37" s="30" t="s">
        <v>75</v>
      </c>
      <c r="N37" s="30" t="s">
        <v>20</v>
      </c>
      <c r="U37" s="57"/>
      <c r="V37" s="57"/>
      <c r="W37" s="57"/>
      <c r="X37" s="57"/>
    </row>
    <row r="38" spans="2:24" ht="21.6" customHeight="1">
      <c r="B38" s="60">
        <v>45807</v>
      </c>
      <c r="C38" s="211" t="s">
        <v>265</v>
      </c>
      <c r="D38" s="59">
        <v>199956677</v>
      </c>
      <c r="E38" s="30" t="s">
        <v>8</v>
      </c>
      <c r="F38" s="30" t="s">
        <v>200</v>
      </c>
      <c r="G38" s="30">
        <v>67</v>
      </c>
      <c r="H38" s="30">
        <v>1</v>
      </c>
      <c r="I38" s="32">
        <v>55</v>
      </c>
      <c r="J38" s="32">
        <v>0</v>
      </c>
      <c r="K38" s="32">
        <v>0</v>
      </c>
      <c r="L38" s="32">
        <f t="shared" si="2"/>
        <v>55</v>
      </c>
      <c r="M38" s="30" t="s">
        <v>75</v>
      </c>
      <c r="N38" s="30" t="s">
        <v>20</v>
      </c>
      <c r="U38" s="57"/>
      <c r="V38" s="57"/>
      <c r="W38" s="57"/>
      <c r="X38" s="57"/>
    </row>
    <row r="39" spans="2:24" ht="21.6" customHeight="1">
      <c r="B39" s="60">
        <v>45807</v>
      </c>
      <c r="C39" s="211" t="s">
        <v>268</v>
      </c>
      <c r="D39" s="59">
        <v>287799204</v>
      </c>
      <c r="E39" s="30" t="s">
        <v>8</v>
      </c>
      <c r="F39" s="30" t="s">
        <v>199</v>
      </c>
      <c r="G39" s="30">
        <v>68</v>
      </c>
      <c r="H39" s="30">
        <v>1</v>
      </c>
      <c r="I39" s="32">
        <v>85</v>
      </c>
      <c r="J39" s="32">
        <v>0</v>
      </c>
      <c r="K39" s="32">
        <v>0</v>
      </c>
      <c r="L39" s="32">
        <f t="shared" si="2"/>
        <v>85</v>
      </c>
      <c r="M39" s="30" t="s">
        <v>75</v>
      </c>
      <c r="N39" s="30" t="s">
        <v>18</v>
      </c>
      <c r="U39" s="57"/>
      <c r="V39" s="57"/>
      <c r="W39" s="57"/>
      <c r="X39" s="57"/>
    </row>
    <row r="40" spans="2:24" ht="21.6" customHeight="1">
      <c r="B40" s="60">
        <v>45807</v>
      </c>
      <c r="C40" s="211" t="s">
        <v>269</v>
      </c>
      <c r="D40" s="59">
        <v>192025821</v>
      </c>
      <c r="E40" s="30" t="s">
        <v>8</v>
      </c>
      <c r="F40" s="30" t="s">
        <v>199</v>
      </c>
      <c r="G40" s="30">
        <v>69</v>
      </c>
      <c r="H40" s="30">
        <v>1</v>
      </c>
      <c r="I40" s="32">
        <v>85</v>
      </c>
      <c r="J40" s="32">
        <v>0</v>
      </c>
      <c r="K40" s="32">
        <v>0</v>
      </c>
      <c r="L40" s="32">
        <f t="shared" si="2"/>
        <v>85</v>
      </c>
      <c r="M40" s="30" t="s">
        <v>75</v>
      </c>
      <c r="N40" s="30" t="s">
        <v>18</v>
      </c>
      <c r="U40" s="57"/>
      <c r="V40" s="57"/>
      <c r="W40" s="57"/>
      <c r="X40" s="57"/>
    </row>
    <row r="41" spans="2:24" ht="21.6" customHeight="1">
      <c r="U41" s="57"/>
      <c r="V41" s="57"/>
      <c r="W41" s="57"/>
      <c r="X41" s="57"/>
    </row>
    <row r="42" spans="2:24" ht="21.6" customHeight="1">
      <c r="U42" s="57"/>
      <c r="V42" s="57"/>
      <c r="W42" s="57"/>
      <c r="X42" s="57"/>
    </row>
    <row r="43" spans="2:24" ht="21.6" customHeight="1">
      <c r="U43" s="57"/>
      <c r="V43" s="57"/>
      <c r="W43" s="57"/>
      <c r="X43" s="57"/>
    </row>
    <row r="44" spans="2:24" ht="21.6" customHeight="1">
      <c r="U44" s="57"/>
      <c r="V44" s="57"/>
      <c r="W44" s="57"/>
      <c r="X44" s="57"/>
    </row>
    <row r="45" spans="2:24" ht="21.6" customHeight="1">
      <c r="U45" s="57"/>
      <c r="V45" s="57"/>
      <c r="W45" s="57"/>
      <c r="X45" s="57"/>
    </row>
    <row r="46" spans="2:24" ht="21.6" customHeight="1">
      <c r="U46" s="57"/>
      <c r="V46" s="57"/>
      <c r="W46" s="57"/>
      <c r="X46" s="57"/>
    </row>
    <row r="47" spans="2:24" ht="21.6" customHeight="1">
      <c r="U47" s="57"/>
      <c r="V47" s="57"/>
      <c r="W47" s="57"/>
      <c r="X47" s="57"/>
    </row>
    <row r="48" spans="2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  <row r="990" spans="21:24" ht="21.6" customHeight="1">
      <c r="U990" s="57"/>
      <c r="V990" s="57"/>
      <c r="W990" s="57"/>
      <c r="X990" s="57"/>
    </row>
    <row r="991" spans="21:24" ht="21.6" customHeight="1">
      <c r="U991" s="57"/>
      <c r="V991" s="57"/>
      <c r="W991" s="57"/>
      <c r="X991" s="57"/>
    </row>
    <row r="992" spans="21:24" ht="21.6" customHeight="1">
      <c r="U992" s="57"/>
      <c r="V992" s="57"/>
      <c r="W992" s="57"/>
      <c r="X992" s="57"/>
    </row>
    <row r="993" spans="21:24" ht="21.6" customHeight="1">
      <c r="U993" s="57"/>
      <c r="V993" s="57"/>
      <c r="W993" s="57"/>
      <c r="X993" s="57"/>
    </row>
    <row r="994" spans="21:24" ht="21.6" customHeight="1">
      <c r="U994" s="57"/>
      <c r="V994" s="57"/>
      <c r="W994" s="57"/>
      <c r="X994" s="57"/>
    </row>
    <row r="995" spans="21:24" ht="21.6" customHeight="1">
      <c r="U995" s="57"/>
      <c r="V995" s="57"/>
      <c r="W995" s="57"/>
      <c r="X995" s="57"/>
    </row>
    <row r="996" spans="21:24" ht="21.6" customHeight="1">
      <c r="U996" s="57"/>
      <c r="V996" s="57"/>
      <c r="W996" s="57"/>
      <c r="X996" s="57"/>
    </row>
    <row r="997" spans="21:24" ht="21.6" customHeight="1">
      <c r="U997" s="57"/>
      <c r="V997" s="57"/>
      <c r="W997" s="57"/>
      <c r="X997" s="57"/>
    </row>
    <row r="998" spans="21:24" ht="21.6" customHeight="1">
      <c r="U998" s="57"/>
      <c r="V998" s="57"/>
      <c r="W998" s="57"/>
      <c r="X998" s="57"/>
    </row>
    <row r="999" spans="21:24" ht="21.6" customHeight="1">
      <c r="U999" s="57"/>
      <c r="V999" s="57"/>
      <c r="W999" s="57"/>
      <c r="X999" s="57"/>
    </row>
    <row r="1000" spans="21:24" ht="21.6" customHeight="1">
      <c r="U1000" s="57"/>
      <c r="V1000" s="57"/>
      <c r="W1000" s="57"/>
      <c r="X1000" s="57"/>
    </row>
    <row r="1001" spans="21:24" ht="21.6" customHeight="1">
      <c r="U1001" s="57"/>
      <c r="V1001" s="57"/>
      <c r="W1001" s="57"/>
      <c r="X1001" s="57"/>
    </row>
    <row r="1002" spans="21:24" ht="21.6" customHeight="1">
      <c r="U1002" s="57"/>
      <c r="V1002" s="57"/>
      <c r="W1002" s="57"/>
      <c r="X1002" s="57"/>
    </row>
  </sheetData>
  <mergeCells count="22">
    <mergeCell ref="G10:H10"/>
    <mergeCell ref="O7:P7"/>
    <mergeCell ref="U7:V7"/>
    <mergeCell ref="C8:D8"/>
    <mergeCell ref="G8:H8"/>
    <mergeCell ref="C9:D9"/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</mergeCells>
  <conditionalFormatting sqref="B23:B24 E23:M24 B38 E38:M38 B39:M1048576">
    <cfRule type="expression" dxfId="116" priority="19">
      <formula>$B23="Total"</formula>
    </cfRule>
  </conditionalFormatting>
  <conditionalFormatting sqref="B4:C5 C6:C10 B7:B10">
    <cfRule type="expression" dxfId="115" priority="12">
      <formula>$B4="Resultado Líquido"</formula>
    </cfRule>
    <cfRule type="expression" dxfId="114" priority="13">
      <formula>OR($B4="Faturação",$B4="Despesas")</formula>
    </cfRule>
  </conditionalFormatting>
  <conditionalFormatting sqref="B11:C12">
    <cfRule type="expression" dxfId="113" priority="14">
      <formula>$B11="Resultado Líquido"</formula>
    </cfRule>
    <cfRule type="expression" dxfId="112" priority="15">
      <formula>OR($B11="Faturação",$B11="Despesas")</formula>
    </cfRule>
  </conditionalFormatting>
  <conditionalFormatting sqref="D16">
    <cfRule type="expression" dxfId="111" priority="7">
      <formula>$B16="Total"</formula>
    </cfRule>
  </conditionalFormatting>
  <conditionalFormatting sqref="D19:D20">
    <cfRule type="expression" dxfId="110" priority="5">
      <formula>$B19="Total"</formula>
    </cfRule>
  </conditionalFormatting>
  <conditionalFormatting sqref="D23:D24">
    <cfRule type="expression" dxfId="109" priority="4">
      <formula>$B23="Total"</formula>
    </cfRule>
  </conditionalFormatting>
  <conditionalFormatting sqref="D27">
    <cfRule type="expression" dxfId="108" priority="3">
      <formula>$B27="Total"</formula>
    </cfRule>
  </conditionalFormatting>
  <conditionalFormatting sqref="D33">
    <cfRule type="expression" dxfId="107" priority="2">
      <formula>$B33="Total"</formula>
    </cfRule>
  </conditionalFormatting>
  <conditionalFormatting sqref="D38">
    <cfRule type="expression" dxfId="106" priority="1">
      <formula>#REF!="Total"</formula>
    </cfRule>
  </conditionalFormatting>
  <conditionalFormatting sqref="D25:M25 E26:M27 D28:M31 E32:M34 D35:M36 E37:M37">
    <cfRule type="expression" dxfId="105" priority="21">
      <formula>#REF!="Total"</formula>
    </cfRule>
  </conditionalFormatting>
  <conditionalFormatting sqref="G5:G8">
    <cfRule type="expression" dxfId="104" priority="10">
      <formula>$B5="Resultado Líquido"</formula>
    </cfRule>
    <cfRule type="expression" dxfId="103" priority="11">
      <formula>OR($B5="Faturação",$B5="Despesas")</formula>
    </cfRule>
  </conditionalFormatting>
  <conditionalFormatting sqref="G10">
    <cfRule type="expression" dxfId="102" priority="8">
      <formula>$B10="Resultado Líquido"</formula>
    </cfRule>
    <cfRule type="expression" dxfId="101" priority="9">
      <formula>OR($B10="Faturação",$B10="Despesas")</formula>
    </cfRule>
  </conditionalFormatting>
  <conditionalFormatting sqref="O23:O26">
    <cfRule type="expression" dxfId="100" priority="20">
      <formula>#REF!="Total"</formula>
    </cfRule>
  </conditionalFormatting>
  <conditionalFormatting sqref="P15:Y28 P27:P37 S27:Y37 P38:Y1048576">
    <cfRule type="expression" dxfId="99" priority="18">
      <formula>$P15="Total"</formula>
    </cfRule>
  </conditionalFormatting>
  <dataValidations count="9">
    <dataValidation type="list" allowBlank="1" showInputMessage="1" showErrorMessage="1" sqref="E16:E40" xr:uid="{537B90DE-CBB1-4994-8563-A0F0AA44D0A5}">
      <formula1>"Produtos,Serviços"</formula1>
    </dataValidation>
    <dataValidation type="list" allowBlank="1" showErrorMessage="1" sqref="M16:M40" xr:uid="{02814831-5975-4339-9525-1A4EE0763F34}">
      <formula1>"Pago,Pendente,Vencido"</formula1>
    </dataValidation>
    <dataValidation type="list" allowBlank="1" showInputMessage="1" showErrorMessage="1" sqref="X16:X28" xr:uid="{F49CDEC6-0C5F-449C-AE03-AAF31BC46B27}">
      <formula1>"Pago,Pendente,Vencido"</formula1>
    </dataValidation>
    <dataValidation type="list" allowBlank="1" showInputMessage="1" showErrorMessage="1" sqref="T16:T28" xr:uid="{C6E37934-E6B3-4CAD-9EFA-D0A99E2F69B0}">
      <formula1>Filtro_Desp</formula1>
    </dataValidation>
    <dataValidation type="whole" allowBlank="1" showInputMessage="1" showErrorMessage="1" sqref="R16:R28 D16:D40" xr:uid="{5D1500FC-E27C-4706-ABEE-27653E382608}">
      <formula1>0</formula1>
      <formula2>999999999</formula2>
    </dataValidation>
    <dataValidation type="date" allowBlank="1" showInputMessage="1" showErrorMessage="1" sqref="P16:P28 B16:B40" xr:uid="{BA22B534-9692-46A4-8E06-BC423C6EE436}">
      <formula1>43831</formula1>
      <formula2>73050</formula2>
    </dataValidation>
    <dataValidation type="list" allowBlank="1" showErrorMessage="1" sqref="N16:N40" xr:uid="{307D0A49-C2F0-4747-8620-2594504CFFBC}">
      <formula1>Filtro_Pag</formula1>
    </dataValidation>
    <dataValidation type="list" allowBlank="1" showInputMessage="1" showErrorMessage="1" sqref="Y16:Y28" xr:uid="{158DA08E-ABF1-493C-B58B-0ACCA0988787}">
      <formula1>Filtro_Pag</formula1>
    </dataValidation>
    <dataValidation type="list" allowBlank="1" showInputMessage="1" showErrorMessage="1" sqref="F16:F40" xr:uid="{7657412A-119F-455A-AD7E-742AC37F0A2A}">
      <formula1>INDIRECT($E16)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4CFB-CBB7-4C10-9661-5C745D2B913B}">
  <sheetPr codeName="Folha11"/>
  <dimension ref="A1:TX1002"/>
  <sheetViews>
    <sheetView showGridLines="0" topLeftCell="A31" zoomScale="60" zoomScaleNormal="60" workbookViewId="0">
      <selection activeCell="I62" sqref="I62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17.7773437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3.88671875" style="30" customWidth="1"/>
    <col min="18" max="18" width="14.6640625" style="59" customWidth="1"/>
    <col min="19" max="19" width="15.44140625" style="30" customWidth="1"/>
    <col min="20" max="20" width="16.3320312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108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109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 t="s" cm="1">
        <v>72</v>
      </c>
      <c r="TS2" s="127" t="s" cm="1">
        <v>12</v>
      </c>
      <c r="TT2" s="127" cm="1">
        <v>671</v>
      </c>
      <c r="TU2" s="127"/>
      <c r="TV2" s="127" t="s" cm="1">
        <v>72</v>
      </c>
      <c r="TW2" s="127" t="s">
        <v>12</v>
      </c>
      <c r="TX2" s="127" cm="1">
        <v>671</v>
      </c>
    </row>
    <row r="3" spans="1:544" ht="36.9" customHeight="1">
      <c r="C3" s="233" t="s">
        <v>110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6620</v>
      </c>
      <c r="G5" s="235" t="s">
        <v>71</v>
      </c>
      <c r="H5" s="235"/>
      <c r="I5" s="166">
        <f ca="1">SUM(I6:I8)</f>
        <v>0</v>
      </c>
      <c r="J5" s="31"/>
      <c r="K5" s="31"/>
      <c r="L5" s="170" t="s">
        <v>72</v>
      </c>
      <c r="M5" s="171">
        <f>+L14</f>
        <v>6620</v>
      </c>
      <c r="N5" s="168" t="s">
        <v>73</v>
      </c>
      <c r="O5" s="231">
        <f ca="1">+SUMIF(M16:M2599,"Pago",L16:L2499)</f>
        <v>6620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1127</v>
      </c>
      <c r="F6" s="30"/>
      <c r="G6" s="234" t="s">
        <v>6</v>
      </c>
      <c r="H6" s="234"/>
      <c r="I6" s="167">
        <f ca="1">+SUMIF(T16:T199994,G6,U16:U4994)</f>
        <v>0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1245</v>
      </c>
      <c r="F7" s="30"/>
      <c r="G7" s="234" t="s">
        <v>5</v>
      </c>
      <c r="H7" s="234"/>
      <c r="I7" s="167">
        <f ca="1">+SUMIF(T16:T199994,G7,U16:U4994)</f>
        <v>0</v>
      </c>
      <c r="J7" s="32"/>
      <c r="K7" s="32"/>
      <c r="L7" s="170" t="s">
        <v>4</v>
      </c>
      <c r="M7" s="171">
        <f>+W14</f>
        <v>0</v>
      </c>
      <c r="N7" s="168" t="s">
        <v>75</v>
      </c>
      <c r="O7" s="231">
        <f ca="1">+SUMIF(X16:X2599,"Pago",W16:W2499)</f>
        <v>0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4248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6620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+SUM(Fat_Jul[Base])</f>
        <v>6620</v>
      </c>
      <c r="J14" s="52">
        <f>+SUM(Fat_Jul[[IVA ]])</f>
        <v>0</v>
      </c>
      <c r="K14" s="52">
        <f>+SUM(Fat_Jul[Retenção])</f>
        <v>0</v>
      </c>
      <c r="L14" s="52">
        <f>+SUM(Fat_Jul[Total])</f>
        <v>6620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+SUM(Desp_Jul[Base])</f>
        <v>0</v>
      </c>
      <c r="V14" s="52">
        <f>SUM(Desp_Jul[[IVA ]])</f>
        <v>0</v>
      </c>
      <c r="W14" s="52">
        <f>SUM(Desp_Jul[Total])</f>
        <v>0</v>
      </c>
      <c r="X14" s="133"/>
      <c r="Y14" s="133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60">
        <v>45839</v>
      </c>
      <c r="C16" s="30" t="s">
        <v>249</v>
      </c>
      <c r="D16" s="59">
        <v>230682219</v>
      </c>
      <c r="E16" s="30" t="s">
        <v>8</v>
      </c>
      <c r="F16" s="30" t="s">
        <v>200</v>
      </c>
      <c r="G16" s="30">
        <v>70</v>
      </c>
      <c r="H16" s="30">
        <v>1</v>
      </c>
      <c r="I16" s="32">
        <v>50</v>
      </c>
      <c r="J16" s="32">
        <v>0</v>
      </c>
      <c r="K16" s="32">
        <v>0</v>
      </c>
      <c r="L16" s="32">
        <f>+I16+J16-K16</f>
        <v>50</v>
      </c>
      <c r="M16" s="30" t="s">
        <v>75</v>
      </c>
      <c r="N16" s="30" t="s">
        <v>20</v>
      </c>
      <c r="O16" s="29"/>
      <c r="Q16" s="138"/>
      <c r="V16" s="32">
        <f>+Desp_Jul[[#This Row],[Base]]*0.23</f>
        <v>0</v>
      </c>
      <c r="W16" s="32">
        <f>+Desp_Jul[[#This Row],[Base]]+Desp_Jul[[#This Row],[IVA ]]</f>
        <v>0</v>
      </c>
      <c r="Y16" s="138"/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60">
        <v>45839</v>
      </c>
      <c r="C17" s="30" t="s">
        <v>265</v>
      </c>
      <c r="D17" s="59">
        <v>199956677</v>
      </c>
      <c r="E17" s="30" t="s">
        <v>8</v>
      </c>
      <c r="F17" s="30" t="s">
        <v>200</v>
      </c>
      <c r="G17" s="30">
        <v>71</v>
      </c>
      <c r="H17" s="30">
        <v>1</v>
      </c>
      <c r="I17" s="32">
        <v>55</v>
      </c>
      <c r="J17" s="32">
        <v>0</v>
      </c>
      <c r="K17" s="32">
        <v>0</v>
      </c>
      <c r="L17" s="32">
        <f t="shared" ref="L17:L18" si="0">+I17+J17-K17</f>
        <v>55</v>
      </c>
      <c r="M17" s="30" t="s">
        <v>75</v>
      </c>
      <c r="N17" s="30" t="s">
        <v>20</v>
      </c>
      <c r="O17" s="29"/>
      <c r="Q17" s="138"/>
      <c r="V17" s="32">
        <f>+Desp_Jul[[#This Row],[Base]]*0.23</f>
        <v>0</v>
      </c>
      <c r="W17" s="32">
        <f>+Desp_Jul[[#This Row],[Base]]+Desp_Jul[[#This Row],[IVA ]]</f>
        <v>0</v>
      </c>
      <c r="Y17" s="138"/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60">
        <v>45841</v>
      </c>
      <c r="C18" s="30" t="s">
        <v>249</v>
      </c>
      <c r="D18" s="59">
        <v>230682219</v>
      </c>
      <c r="E18" s="30" t="s">
        <v>8</v>
      </c>
      <c r="F18" s="30" t="s">
        <v>200</v>
      </c>
      <c r="G18" s="30">
        <v>73</v>
      </c>
      <c r="H18" s="30">
        <v>1</v>
      </c>
      <c r="I18" s="32">
        <v>50</v>
      </c>
      <c r="J18" s="32">
        <v>0</v>
      </c>
      <c r="K18" s="32">
        <v>0</v>
      </c>
      <c r="L18" s="32">
        <f t="shared" si="0"/>
        <v>50</v>
      </c>
      <c r="M18" s="30" t="s">
        <v>75</v>
      </c>
      <c r="N18" s="30" t="s">
        <v>20</v>
      </c>
      <c r="O18" s="29"/>
      <c r="Q18" s="138"/>
      <c r="V18" s="32">
        <f>+Desp_Jul[[#This Row],[Base]]*0.23</f>
        <v>0</v>
      </c>
      <c r="W18" s="32">
        <f>+Desp_Jul[[#This Row],[Base]]+Desp_Jul[[#This Row],[IVA ]]</f>
        <v>0</v>
      </c>
      <c r="Y18" s="138"/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60">
        <v>45841</v>
      </c>
      <c r="C19" s="30" t="s">
        <v>261</v>
      </c>
      <c r="D19" s="59">
        <v>248912062</v>
      </c>
      <c r="E19" s="30" t="s">
        <v>8</v>
      </c>
      <c r="F19" s="30" t="s">
        <v>200</v>
      </c>
      <c r="G19" s="30">
        <v>74</v>
      </c>
      <c r="H19" s="30">
        <v>1</v>
      </c>
      <c r="I19" s="32">
        <v>50</v>
      </c>
      <c r="J19" s="32">
        <v>0</v>
      </c>
      <c r="K19" s="32">
        <v>0</v>
      </c>
      <c r="L19" s="32">
        <f t="shared" ref="L19:L66" si="1">+I19+J19-K19</f>
        <v>50</v>
      </c>
      <c r="M19" s="30" t="s">
        <v>75</v>
      </c>
      <c r="N19" s="30" t="s">
        <v>20</v>
      </c>
      <c r="O19" s="29"/>
      <c r="V19" s="32">
        <f>+Desp_Jul[[#This Row],[Base]]*0.23</f>
        <v>0</v>
      </c>
      <c r="W19" s="32">
        <f>+Desp_Jul[[#This Row],[Base]]+Desp_Jul[[#This Row],[IVA ]]</f>
        <v>0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60">
        <v>45841</v>
      </c>
      <c r="C20" s="30" t="s">
        <v>278</v>
      </c>
      <c r="D20" s="59">
        <v>289723299</v>
      </c>
      <c r="E20" s="30" t="s">
        <v>8</v>
      </c>
      <c r="F20" s="30" t="s">
        <v>201</v>
      </c>
      <c r="G20" s="30">
        <v>75</v>
      </c>
      <c r="H20" s="30">
        <v>1</v>
      </c>
      <c r="I20" s="32">
        <v>400</v>
      </c>
      <c r="J20" s="32">
        <v>0</v>
      </c>
      <c r="K20" s="32">
        <v>0</v>
      </c>
      <c r="L20" s="32">
        <f t="shared" si="1"/>
        <v>400</v>
      </c>
      <c r="M20" s="30" t="s">
        <v>75</v>
      </c>
      <c r="N20" s="30" t="s">
        <v>18</v>
      </c>
      <c r="O20" s="29"/>
      <c r="V20" s="32">
        <f>+Desp_Jul[[#This Row],[Base]]*0.23</f>
        <v>0</v>
      </c>
      <c r="W20" s="32">
        <f>+Desp_Jul[[#This Row],[Base]]+Desp_Jul[[#This Row],[IVA ]]</f>
        <v>0</v>
      </c>
    </row>
    <row r="21" spans="2:544" ht="21.6" customHeight="1">
      <c r="B21" s="60">
        <v>45842</v>
      </c>
      <c r="C21" s="30" t="s">
        <v>279</v>
      </c>
      <c r="D21" s="59">
        <v>0</v>
      </c>
      <c r="E21" s="30" t="s">
        <v>8</v>
      </c>
      <c r="F21" s="30" t="s">
        <v>201</v>
      </c>
      <c r="H21" s="30">
        <v>1</v>
      </c>
      <c r="I21" s="32">
        <v>308</v>
      </c>
      <c r="J21" s="32">
        <v>0</v>
      </c>
      <c r="K21" s="32">
        <v>0</v>
      </c>
      <c r="L21" s="32">
        <f t="shared" si="1"/>
        <v>308</v>
      </c>
      <c r="M21" s="30" t="s">
        <v>75</v>
      </c>
      <c r="N21" s="30" t="s">
        <v>18</v>
      </c>
      <c r="O21" s="29"/>
      <c r="V21" s="32">
        <f>+Desp_Jul[[#This Row],[Base]]*0.23</f>
        <v>0</v>
      </c>
      <c r="W21" s="32">
        <f>+Desp_Jul[[#This Row],[Base]]+Desp_Jul[[#This Row],[IVA ]]</f>
        <v>0</v>
      </c>
    </row>
    <row r="22" spans="2:544" ht="21.6" customHeight="1">
      <c r="B22" s="60">
        <v>45842</v>
      </c>
      <c r="C22" s="30" t="s">
        <v>267</v>
      </c>
      <c r="D22" s="59">
        <v>230470785</v>
      </c>
      <c r="E22" s="30" t="s">
        <v>8</v>
      </c>
      <c r="F22" s="30" t="s">
        <v>201</v>
      </c>
      <c r="G22" s="30">
        <v>76</v>
      </c>
      <c r="H22" s="30">
        <v>1</v>
      </c>
      <c r="I22" s="32">
        <v>400</v>
      </c>
      <c r="J22" s="32">
        <v>0</v>
      </c>
      <c r="K22" s="32">
        <v>0</v>
      </c>
      <c r="L22" s="32">
        <f t="shared" si="1"/>
        <v>400</v>
      </c>
      <c r="M22" s="30" t="s">
        <v>75</v>
      </c>
      <c r="N22" s="30" t="s">
        <v>20</v>
      </c>
      <c r="O22" s="29"/>
      <c r="V22" s="32">
        <f>+Desp_Jul[[#This Row],[Base]]*0.23</f>
        <v>0</v>
      </c>
      <c r="W22" s="32">
        <f>+Desp_Jul[[#This Row],[Base]]+Desp_Jul[[#This Row],[IVA ]]</f>
        <v>0</v>
      </c>
    </row>
    <row r="23" spans="2:544" ht="21.6" customHeight="1">
      <c r="B23" s="60">
        <v>45841</v>
      </c>
      <c r="C23" s="30" t="s">
        <v>280</v>
      </c>
      <c r="D23" s="59">
        <v>180062450</v>
      </c>
      <c r="E23" s="30" t="s">
        <v>8</v>
      </c>
      <c r="F23" s="30" t="s">
        <v>199</v>
      </c>
      <c r="G23" s="30">
        <v>72</v>
      </c>
      <c r="H23" s="30">
        <v>1</v>
      </c>
      <c r="I23" s="32">
        <v>85</v>
      </c>
      <c r="J23" s="32">
        <v>0</v>
      </c>
      <c r="K23" s="32">
        <v>0</v>
      </c>
      <c r="L23" s="32">
        <f t="shared" si="1"/>
        <v>85</v>
      </c>
      <c r="M23" s="30" t="s">
        <v>75</v>
      </c>
      <c r="N23" s="30" t="s">
        <v>18</v>
      </c>
      <c r="O23" s="29"/>
    </row>
    <row r="24" spans="2:544" ht="21.6" customHeight="1">
      <c r="B24" s="60">
        <v>45842</v>
      </c>
      <c r="C24" s="30" t="s">
        <v>241</v>
      </c>
      <c r="D24" s="59">
        <v>295081457</v>
      </c>
      <c r="E24" s="30" t="s">
        <v>8</v>
      </c>
      <c r="F24" s="30" t="s">
        <v>201</v>
      </c>
      <c r="G24" s="30">
        <v>77</v>
      </c>
      <c r="H24" s="30">
        <v>1</v>
      </c>
      <c r="I24" s="32">
        <v>400</v>
      </c>
      <c r="J24" s="32">
        <v>0</v>
      </c>
      <c r="K24" s="32">
        <v>0</v>
      </c>
      <c r="L24" s="32">
        <f t="shared" si="1"/>
        <v>400</v>
      </c>
      <c r="M24" s="30" t="s">
        <v>75</v>
      </c>
      <c r="N24" s="30" t="s">
        <v>20</v>
      </c>
      <c r="O24" s="29"/>
    </row>
    <row r="25" spans="2:544" ht="21.6" customHeight="1">
      <c r="B25" s="60">
        <v>45845</v>
      </c>
      <c r="C25" s="30" t="s">
        <v>281</v>
      </c>
      <c r="D25" s="59">
        <v>178479691</v>
      </c>
      <c r="E25" s="30" t="s">
        <v>8</v>
      </c>
      <c r="F25" s="30" t="s">
        <v>201</v>
      </c>
      <c r="G25" s="30">
        <v>78</v>
      </c>
      <c r="H25" s="30">
        <v>1</v>
      </c>
      <c r="I25" s="32">
        <v>50</v>
      </c>
      <c r="J25" s="32">
        <v>0</v>
      </c>
      <c r="K25" s="32">
        <v>0</v>
      </c>
      <c r="L25" s="32">
        <f t="shared" si="1"/>
        <v>50</v>
      </c>
      <c r="M25" s="30" t="s">
        <v>75</v>
      </c>
      <c r="N25" s="30" t="s">
        <v>18</v>
      </c>
      <c r="O25" s="29"/>
    </row>
    <row r="26" spans="2:544" ht="21.6" customHeight="1">
      <c r="B26" s="60">
        <v>45845</v>
      </c>
      <c r="C26" s="30" t="s">
        <v>265</v>
      </c>
      <c r="D26" s="59">
        <v>199956677</v>
      </c>
      <c r="E26" s="30" t="s">
        <v>8</v>
      </c>
      <c r="F26" s="30" t="s">
        <v>200</v>
      </c>
      <c r="G26" s="30">
        <v>82</v>
      </c>
      <c r="H26" s="30">
        <v>2</v>
      </c>
      <c r="I26" s="32">
        <v>110</v>
      </c>
      <c r="J26" s="32">
        <v>0</v>
      </c>
      <c r="K26" s="32">
        <v>0</v>
      </c>
      <c r="L26" s="32">
        <f t="shared" si="1"/>
        <v>110</v>
      </c>
      <c r="M26" s="30" t="s">
        <v>75</v>
      </c>
      <c r="N26" s="30" t="s">
        <v>20</v>
      </c>
      <c r="O26" s="29"/>
    </row>
    <row r="27" spans="2:544" ht="21.6" customHeight="1">
      <c r="B27" s="60">
        <v>45845</v>
      </c>
      <c r="C27" s="30" t="s">
        <v>261</v>
      </c>
      <c r="D27" s="59">
        <v>248912062</v>
      </c>
      <c r="E27" s="30" t="s">
        <v>8</v>
      </c>
      <c r="F27" s="30" t="s">
        <v>200</v>
      </c>
      <c r="G27" s="30">
        <v>80</v>
      </c>
      <c r="H27" s="30">
        <v>1</v>
      </c>
      <c r="I27" s="32">
        <v>50</v>
      </c>
      <c r="J27" s="32">
        <v>0</v>
      </c>
      <c r="K27" s="32">
        <v>0</v>
      </c>
      <c r="L27" s="32">
        <f t="shared" si="1"/>
        <v>50</v>
      </c>
      <c r="M27" s="30" t="s">
        <v>75</v>
      </c>
      <c r="N27" s="30" t="s">
        <v>20</v>
      </c>
      <c r="U27" s="57"/>
      <c r="V27" s="57"/>
      <c r="W27" s="57"/>
      <c r="X27" s="57"/>
    </row>
    <row r="28" spans="2:544" ht="21.6" customHeight="1">
      <c r="B28" s="60">
        <v>45845</v>
      </c>
      <c r="C28" s="30" t="s">
        <v>282</v>
      </c>
      <c r="D28" s="59">
        <v>261357077</v>
      </c>
      <c r="E28" s="30" t="s">
        <v>8</v>
      </c>
      <c r="F28" s="30" t="s">
        <v>199</v>
      </c>
      <c r="G28" s="30">
        <v>81</v>
      </c>
      <c r="H28" s="30">
        <v>1</v>
      </c>
      <c r="I28" s="32">
        <v>85</v>
      </c>
      <c r="J28" s="32">
        <v>0</v>
      </c>
      <c r="K28" s="32">
        <v>0</v>
      </c>
      <c r="L28" s="32">
        <f t="shared" si="1"/>
        <v>85</v>
      </c>
      <c r="M28" s="30" t="s">
        <v>75</v>
      </c>
      <c r="N28" s="30" t="s">
        <v>20</v>
      </c>
      <c r="U28" s="57"/>
      <c r="V28" s="57"/>
      <c r="W28" s="57"/>
      <c r="X28" s="57"/>
    </row>
    <row r="29" spans="2:544" ht="21.6" customHeight="1">
      <c r="B29" s="60">
        <v>45846</v>
      </c>
      <c r="C29" s="30" t="s">
        <v>249</v>
      </c>
      <c r="D29" s="59">
        <v>230682219</v>
      </c>
      <c r="E29" s="30" t="s">
        <v>8</v>
      </c>
      <c r="F29" s="30" t="s">
        <v>200</v>
      </c>
      <c r="G29" s="30">
        <v>83</v>
      </c>
      <c r="H29" s="30">
        <v>1</v>
      </c>
      <c r="I29" s="32">
        <v>50</v>
      </c>
      <c r="J29" s="32">
        <v>0</v>
      </c>
      <c r="K29" s="32">
        <v>0</v>
      </c>
      <c r="L29" s="32">
        <f t="shared" si="1"/>
        <v>50</v>
      </c>
      <c r="M29" s="30" t="s">
        <v>75</v>
      </c>
      <c r="N29" s="30" t="s">
        <v>20</v>
      </c>
      <c r="O29" s="2"/>
      <c r="U29" s="57"/>
      <c r="V29" s="57"/>
      <c r="W29" s="57"/>
      <c r="X29" s="57"/>
      <c r="Z29" s="2"/>
    </row>
    <row r="30" spans="2:544" ht="21.6" customHeight="1">
      <c r="B30" s="60">
        <v>45847</v>
      </c>
      <c r="C30" s="30" t="s">
        <v>261</v>
      </c>
      <c r="D30" s="59">
        <v>248912062</v>
      </c>
      <c r="E30" s="30" t="s">
        <v>8</v>
      </c>
      <c r="F30" s="30" t="s">
        <v>200</v>
      </c>
      <c r="G30" s="30">
        <v>84</v>
      </c>
      <c r="H30" s="30">
        <v>1</v>
      </c>
      <c r="I30" s="32">
        <v>50</v>
      </c>
      <c r="J30" s="32">
        <v>0</v>
      </c>
      <c r="K30" s="32">
        <v>0</v>
      </c>
      <c r="L30" s="32">
        <f t="shared" si="1"/>
        <v>50</v>
      </c>
      <c r="M30" s="30" t="s">
        <v>75</v>
      </c>
      <c r="N30" s="30" t="s">
        <v>20</v>
      </c>
      <c r="U30" s="57"/>
      <c r="V30" s="57"/>
      <c r="W30" s="57"/>
      <c r="X30" s="57"/>
    </row>
    <row r="31" spans="2:544" ht="21.6" customHeight="1">
      <c r="B31" s="60">
        <v>45847</v>
      </c>
      <c r="C31" s="30" t="s">
        <v>268</v>
      </c>
      <c r="D31" s="59">
        <v>0</v>
      </c>
      <c r="E31" s="30" t="s">
        <v>8</v>
      </c>
      <c r="F31" s="30" t="s">
        <v>201</v>
      </c>
      <c r="H31" s="30">
        <v>1</v>
      </c>
      <c r="I31" s="32">
        <v>308</v>
      </c>
      <c r="J31" s="32">
        <v>0</v>
      </c>
      <c r="K31" s="32">
        <v>0</v>
      </c>
      <c r="L31" s="32">
        <f t="shared" si="1"/>
        <v>308</v>
      </c>
      <c r="M31" s="30" t="s">
        <v>75</v>
      </c>
      <c r="N31" s="30" t="s">
        <v>18</v>
      </c>
      <c r="U31" s="57"/>
      <c r="V31" s="57"/>
      <c r="W31" s="57"/>
      <c r="X31" s="57"/>
    </row>
    <row r="32" spans="2:544" ht="21.6" customHeight="1">
      <c r="B32" s="60">
        <v>45848</v>
      </c>
      <c r="C32" s="30" t="s">
        <v>249</v>
      </c>
      <c r="D32" s="59">
        <v>230682219</v>
      </c>
      <c r="E32" s="30" t="s">
        <v>8</v>
      </c>
      <c r="F32" s="30" t="s">
        <v>200</v>
      </c>
      <c r="G32" s="30">
        <v>85</v>
      </c>
      <c r="H32" s="30">
        <v>1</v>
      </c>
      <c r="I32" s="32">
        <v>50</v>
      </c>
      <c r="J32" s="32">
        <v>0</v>
      </c>
      <c r="K32" s="32">
        <v>0</v>
      </c>
      <c r="L32" s="32">
        <f t="shared" si="1"/>
        <v>50</v>
      </c>
      <c r="M32" s="30" t="s">
        <v>75</v>
      </c>
      <c r="N32" s="30" t="s">
        <v>20</v>
      </c>
      <c r="U32" s="57"/>
      <c r="V32" s="57"/>
      <c r="W32" s="57"/>
      <c r="X32" s="57"/>
    </row>
    <row r="33" spans="2:24" ht="21.6" customHeight="1">
      <c r="B33" s="60">
        <v>45848</v>
      </c>
      <c r="C33" s="30" t="s">
        <v>283</v>
      </c>
      <c r="D33" s="59">
        <v>0</v>
      </c>
      <c r="E33" s="30" t="s">
        <v>8</v>
      </c>
      <c r="F33" s="30" t="s">
        <v>199</v>
      </c>
      <c r="H33" s="30">
        <v>1</v>
      </c>
      <c r="I33" s="32">
        <v>65</v>
      </c>
      <c r="J33" s="32">
        <v>0</v>
      </c>
      <c r="K33" s="32">
        <v>0</v>
      </c>
      <c r="L33" s="32">
        <f t="shared" si="1"/>
        <v>65</v>
      </c>
      <c r="M33" s="30" t="s">
        <v>75</v>
      </c>
      <c r="N33" s="30" t="s">
        <v>18</v>
      </c>
      <c r="U33" s="57"/>
      <c r="V33" s="57"/>
      <c r="W33" s="57"/>
      <c r="X33" s="57"/>
    </row>
    <row r="34" spans="2:24" ht="21.6" customHeight="1">
      <c r="B34" s="60">
        <v>45848</v>
      </c>
      <c r="C34" s="30" t="s">
        <v>284</v>
      </c>
      <c r="D34" s="59">
        <v>219466106</v>
      </c>
      <c r="E34" s="30" t="s">
        <v>8</v>
      </c>
      <c r="F34" s="30" t="s">
        <v>201</v>
      </c>
      <c r="G34" s="30">
        <v>87</v>
      </c>
      <c r="H34" s="30">
        <v>1</v>
      </c>
      <c r="I34" s="32">
        <v>400</v>
      </c>
      <c r="J34" s="32">
        <v>0</v>
      </c>
      <c r="K34" s="32">
        <v>0</v>
      </c>
      <c r="L34" s="32">
        <f t="shared" si="1"/>
        <v>400</v>
      </c>
      <c r="M34" s="30" t="s">
        <v>75</v>
      </c>
      <c r="N34" s="30" t="s">
        <v>13</v>
      </c>
      <c r="U34" s="57"/>
      <c r="V34" s="57"/>
      <c r="W34" s="57"/>
      <c r="X34" s="57"/>
    </row>
    <row r="35" spans="2:24" ht="21.6" customHeight="1">
      <c r="B35" s="60">
        <v>45849</v>
      </c>
      <c r="C35" s="30" t="s">
        <v>285</v>
      </c>
      <c r="D35" s="59">
        <v>197574882</v>
      </c>
      <c r="E35" s="30" t="s">
        <v>8</v>
      </c>
      <c r="F35" s="30" t="s">
        <v>199</v>
      </c>
      <c r="G35" s="30">
        <v>88</v>
      </c>
      <c r="H35" s="30">
        <v>1</v>
      </c>
      <c r="I35" s="32">
        <v>85</v>
      </c>
      <c r="J35" s="32">
        <v>0</v>
      </c>
      <c r="K35" s="32">
        <v>0</v>
      </c>
      <c r="L35" s="32">
        <f t="shared" si="1"/>
        <v>85</v>
      </c>
      <c r="M35" s="30" t="s">
        <v>75</v>
      </c>
      <c r="N35" s="30" t="s">
        <v>20</v>
      </c>
      <c r="U35" s="57"/>
      <c r="V35" s="57"/>
      <c r="W35" s="57"/>
      <c r="X35" s="57"/>
    </row>
    <row r="36" spans="2:24" ht="21.6" customHeight="1">
      <c r="B36" s="60">
        <v>45850</v>
      </c>
      <c r="C36" s="30" t="s">
        <v>261</v>
      </c>
      <c r="D36" s="59">
        <v>248912062</v>
      </c>
      <c r="E36" s="30" t="s">
        <v>8</v>
      </c>
      <c r="F36" s="30" t="s">
        <v>200</v>
      </c>
      <c r="G36" s="30">
        <v>89</v>
      </c>
      <c r="H36" s="30">
        <v>1</v>
      </c>
      <c r="I36" s="32">
        <v>50</v>
      </c>
      <c r="J36" s="32">
        <v>0</v>
      </c>
      <c r="K36" s="32">
        <v>0</v>
      </c>
      <c r="L36" s="32">
        <f t="shared" si="1"/>
        <v>50</v>
      </c>
      <c r="M36" s="30" t="s">
        <v>75</v>
      </c>
      <c r="N36" s="30" t="s">
        <v>20</v>
      </c>
      <c r="U36" s="57"/>
      <c r="V36" s="57"/>
      <c r="W36" s="57"/>
      <c r="X36" s="57"/>
    </row>
    <row r="37" spans="2:24" ht="21.6" customHeight="1">
      <c r="B37" s="60">
        <v>45850</v>
      </c>
      <c r="C37" s="30" t="s">
        <v>265</v>
      </c>
      <c r="D37" s="59">
        <v>199956677</v>
      </c>
      <c r="E37" s="30" t="s">
        <v>8</v>
      </c>
      <c r="F37" s="30" t="s">
        <v>200</v>
      </c>
      <c r="G37" s="30">
        <v>90</v>
      </c>
      <c r="H37" s="30">
        <v>1</v>
      </c>
      <c r="I37" s="32">
        <v>55</v>
      </c>
      <c r="J37" s="32">
        <v>0</v>
      </c>
      <c r="K37" s="32">
        <v>0</v>
      </c>
      <c r="L37" s="32">
        <f t="shared" si="1"/>
        <v>55</v>
      </c>
      <c r="M37" s="30" t="s">
        <v>75</v>
      </c>
      <c r="N37" s="30" t="s">
        <v>20</v>
      </c>
      <c r="U37" s="57"/>
      <c r="V37" s="57"/>
      <c r="W37" s="57"/>
      <c r="X37" s="57"/>
    </row>
    <row r="38" spans="2:24" ht="21.6" customHeight="1">
      <c r="B38" s="60">
        <v>45852</v>
      </c>
      <c r="C38" s="30" t="s">
        <v>286</v>
      </c>
      <c r="D38" s="59">
        <v>224095773</v>
      </c>
      <c r="E38" s="30" t="s">
        <v>8</v>
      </c>
      <c r="F38" s="30" t="s">
        <v>199</v>
      </c>
      <c r="G38" s="30">
        <v>91</v>
      </c>
      <c r="H38" s="30">
        <v>1</v>
      </c>
      <c r="I38" s="32">
        <v>85</v>
      </c>
      <c r="J38" s="32">
        <v>0</v>
      </c>
      <c r="K38" s="32">
        <v>0</v>
      </c>
      <c r="L38" s="32">
        <f t="shared" si="1"/>
        <v>85</v>
      </c>
      <c r="M38" s="30" t="s">
        <v>75</v>
      </c>
      <c r="N38" s="30" t="s">
        <v>18</v>
      </c>
      <c r="U38" s="57"/>
      <c r="V38" s="57"/>
      <c r="W38" s="57"/>
      <c r="X38" s="57"/>
    </row>
    <row r="39" spans="2:24" ht="21.6" customHeight="1">
      <c r="B39" s="60">
        <v>45853</v>
      </c>
      <c r="C39" s="30" t="s">
        <v>249</v>
      </c>
      <c r="D39" s="59">
        <v>230682219</v>
      </c>
      <c r="E39" s="30" t="s">
        <v>8</v>
      </c>
      <c r="F39" s="30" t="s">
        <v>200</v>
      </c>
      <c r="G39" s="30">
        <v>92</v>
      </c>
      <c r="H39" s="30">
        <v>1</v>
      </c>
      <c r="I39" s="32">
        <v>50</v>
      </c>
      <c r="J39" s="32">
        <v>0</v>
      </c>
      <c r="K39" s="32">
        <v>0</v>
      </c>
      <c r="L39" s="32">
        <f t="shared" si="1"/>
        <v>50</v>
      </c>
      <c r="M39" s="30" t="s">
        <v>75</v>
      </c>
      <c r="N39" s="30" t="s">
        <v>20</v>
      </c>
      <c r="U39" s="57"/>
      <c r="V39" s="57"/>
      <c r="W39" s="57"/>
      <c r="X39" s="57"/>
    </row>
    <row r="40" spans="2:24" ht="21.6" customHeight="1">
      <c r="B40" s="60">
        <v>45854</v>
      </c>
      <c r="C40" s="30" t="s">
        <v>287</v>
      </c>
      <c r="D40" s="59">
        <v>201913410</v>
      </c>
      <c r="E40" s="30" t="s">
        <v>8</v>
      </c>
      <c r="F40" s="30" t="s">
        <v>199</v>
      </c>
      <c r="G40" s="30">
        <v>93</v>
      </c>
      <c r="H40" s="30">
        <v>1</v>
      </c>
      <c r="I40" s="32">
        <v>85</v>
      </c>
      <c r="J40" s="32">
        <v>0</v>
      </c>
      <c r="K40" s="32">
        <v>0</v>
      </c>
      <c r="L40" s="32">
        <f t="shared" si="1"/>
        <v>85</v>
      </c>
      <c r="M40" s="30" t="s">
        <v>75</v>
      </c>
      <c r="N40" s="30" t="s">
        <v>18</v>
      </c>
      <c r="U40" s="57"/>
      <c r="V40" s="57"/>
      <c r="W40" s="57"/>
      <c r="X40" s="57"/>
    </row>
    <row r="41" spans="2:24" ht="21.6" customHeight="1">
      <c r="B41" s="60">
        <v>45855</v>
      </c>
      <c r="C41" s="30" t="s">
        <v>249</v>
      </c>
      <c r="D41" s="59">
        <v>230682219</v>
      </c>
      <c r="E41" s="30" t="s">
        <v>8</v>
      </c>
      <c r="F41" s="30" t="s">
        <v>200</v>
      </c>
      <c r="G41" s="30">
        <v>94</v>
      </c>
      <c r="H41" s="30">
        <v>1</v>
      </c>
      <c r="I41" s="32">
        <v>50</v>
      </c>
      <c r="J41" s="32">
        <v>0</v>
      </c>
      <c r="K41" s="32">
        <v>0</v>
      </c>
      <c r="L41" s="32">
        <f t="shared" si="1"/>
        <v>50</v>
      </c>
      <c r="M41" s="30" t="s">
        <v>75</v>
      </c>
      <c r="N41" s="30" t="s">
        <v>20</v>
      </c>
      <c r="U41" s="57"/>
      <c r="V41" s="57"/>
      <c r="W41" s="57"/>
      <c r="X41" s="57"/>
    </row>
    <row r="42" spans="2:24" ht="21.6" customHeight="1">
      <c r="B42" s="60">
        <v>45855</v>
      </c>
      <c r="C42" s="30" t="s">
        <v>288</v>
      </c>
      <c r="D42" s="59">
        <v>0</v>
      </c>
      <c r="E42" s="30" t="s">
        <v>8</v>
      </c>
      <c r="F42" s="30" t="s">
        <v>199</v>
      </c>
      <c r="H42" s="30">
        <v>1</v>
      </c>
      <c r="I42" s="32">
        <v>85</v>
      </c>
      <c r="J42" s="32">
        <v>0</v>
      </c>
      <c r="K42" s="32">
        <v>0</v>
      </c>
      <c r="L42" s="32">
        <f t="shared" si="1"/>
        <v>85</v>
      </c>
      <c r="M42" s="30" t="s">
        <v>75</v>
      </c>
      <c r="N42" s="30" t="s">
        <v>18</v>
      </c>
      <c r="U42" s="57"/>
      <c r="V42" s="57"/>
      <c r="W42" s="57"/>
      <c r="X42" s="57"/>
    </row>
    <row r="43" spans="2:24" ht="21.6" customHeight="1">
      <c r="B43" s="60">
        <v>45855</v>
      </c>
      <c r="C43" s="30" t="s">
        <v>283</v>
      </c>
      <c r="D43" s="59">
        <v>0</v>
      </c>
      <c r="E43" s="30" t="s">
        <v>8</v>
      </c>
      <c r="F43" s="30" t="s">
        <v>201</v>
      </c>
      <c r="H43" s="30">
        <v>1</v>
      </c>
      <c r="I43" s="32">
        <v>308</v>
      </c>
      <c r="J43" s="32">
        <v>0</v>
      </c>
      <c r="K43" s="32">
        <v>0</v>
      </c>
      <c r="L43" s="32">
        <f t="shared" si="1"/>
        <v>308</v>
      </c>
      <c r="M43" s="30" t="s">
        <v>75</v>
      </c>
      <c r="N43" s="30" t="s">
        <v>18</v>
      </c>
      <c r="U43" s="57"/>
      <c r="V43" s="57"/>
      <c r="W43" s="57"/>
      <c r="X43" s="57"/>
    </row>
    <row r="44" spans="2:24" ht="21.6" customHeight="1">
      <c r="B44" s="60">
        <v>45855</v>
      </c>
      <c r="C44" s="30" t="s">
        <v>265</v>
      </c>
      <c r="D44" s="59">
        <v>199956677</v>
      </c>
      <c r="E44" s="30" t="s">
        <v>8</v>
      </c>
      <c r="F44" s="30" t="s">
        <v>200</v>
      </c>
      <c r="G44" s="30">
        <v>95</v>
      </c>
      <c r="H44" s="30">
        <v>1</v>
      </c>
      <c r="I44" s="32">
        <v>55</v>
      </c>
      <c r="J44" s="32">
        <v>0</v>
      </c>
      <c r="K44" s="32">
        <v>0</v>
      </c>
      <c r="L44" s="32">
        <f t="shared" si="1"/>
        <v>55</v>
      </c>
      <c r="M44" s="30" t="s">
        <v>75</v>
      </c>
      <c r="N44" s="30" t="s">
        <v>20</v>
      </c>
      <c r="U44" s="57"/>
      <c r="V44" s="57"/>
      <c r="W44" s="57"/>
      <c r="X44" s="57"/>
    </row>
    <row r="45" spans="2:24" ht="21.6" customHeight="1">
      <c r="B45" s="60">
        <v>45856</v>
      </c>
      <c r="C45" s="30" t="s">
        <v>289</v>
      </c>
      <c r="D45" s="59">
        <v>233789537</v>
      </c>
      <c r="E45" s="30" t="s">
        <v>8</v>
      </c>
      <c r="F45" s="30" t="s">
        <v>199</v>
      </c>
      <c r="G45" s="30">
        <v>96</v>
      </c>
      <c r="H45" s="30">
        <v>1</v>
      </c>
      <c r="I45" s="32">
        <v>85</v>
      </c>
      <c r="J45" s="32">
        <v>0</v>
      </c>
      <c r="K45" s="32">
        <v>0</v>
      </c>
      <c r="L45" s="32">
        <f t="shared" si="1"/>
        <v>85</v>
      </c>
      <c r="M45" s="30" t="s">
        <v>75</v>
      </c>
      <c r="N45" s="30" t="s">
        <v>20</v>
      </c>
      <c r="U45" s="57"/>
      <c r="V45" s="57"/>
      <c r="W45" s="57"/>
      <c r="X45" s="57"/>
    </row>
    <row r="46" spans="2:24" ht="21.6" customHeight="1">
      <c r="B46" s="60">
        <v>45856</v>
      </c>
      <c r="C46" s="30" t="s">
        <v>290</v>
      </c>
      <c r="D46" s="59">
        <v>319466493</v>
      </c>
      <c r="E46" s="30" t="s">
        <v>8</v>
      </c>
      <c r="F46" s="30" t="s">
        <v>201</v>
      </c>
      <c r="G46" s="30">
        <v>97</v>
      </c>
      <c r="H46" s="30">
        <v>1</v>
      </c>
      <c r="I46" s="32">
        <v>150</v>
      </c>
      <c r="J46" s="32">
        <v>0</v>
      </c>
      <c r="K46" s="32">
        <v>0</v>
      </c>
      <c r="L46" s="32">
        <f t="shared" si="1"/>
        <v>150</v>
      </c>
      <c r="M46" s="30" t="s">
        <v>75</v>
      </c>
      <c r="N46" s="30" t="s">
        <v>15</v>
      </c>
      <c r="U46" s="57"/>
      <c r="V46" s="57"/>
      <c r="W46" s="57"/>
      <c r="X46" s="57"/>
    </row>
    <row r="47" spans="2:24" ht="21.6" customHeight="1">
      <c r="B47" s="60">
        <v>45856</v>
      </c>
      <c r="C47" s="30" t="s">
        <v>291</v>
      </c>
      <c r="D47" s="59">
        <v>257036423</v>
      </c>
      <c r="E47" s="30" t="s">
        <v>8</v>
      </c>
      <c r="F47" s="30" t="s">
        <v>199</v>
      </c>
      <c r="G47" s="30">
        <v>98</v>
      </c>
      <c r="H47" s="30">
        <v>1</v>
      </c>
      <c r="I47" s="32">
        <v>85</v>
      </c>
      <c r="J47" s="32">
        <v>0</v>
      </c>
      <c r="K47" s="32">
        <v>0</v>
      </c>
      <c r="L47" s="32">
        <f t="shared" si="1"/>
        <v>85</v>
      </c>
      <c r="M47" s="30" t="s">
        <v>75</v>
      </c>
      <c r="N47" s="30" t="s">
        <v>20</v>
      </c>
      <c r="U47" s="57"/>
      <c r="V47" s="57"/>
      <c r="W47" s="57"/>
      <c r="X47" s="57"/>
    </row>
    <row r="48" spans="2:24" ht="21.6" customHeight="1">
      <c r="B48" s="60">
        <v>45856</v>
      </c>
      <c r="C48" s="30" t="s">
        <v>265</v>
      </c>
      <c r="D48" s="59">
        <v>199956677</v>
      </c>
      <c r="E48" s="30" t="s">
        <v>8</v>
      </c>
      <c r="F48" s="30" t="s">
        <v>200</v>
      </c>
      <c r="G48" s="30">
        <v>99</v>
      </c>
      <c r="H48" s="30">
        <v>1</v>
      </c>
      <c r="I48" s="32">
        <v>55</v>
      </c>
      <c r="J48" s="32">
        <v>0</v>
      </c>
      <c r="K48" s="32">
        <v>0</v>
      </c>
      <c r="L48" s="32">
        <f t="shared" si="1"/>
        <v>55</v>
      </c>
      <c r="M48" s="30" t="s">
        <v>75</v>
      </c>
      <c r="N48" s="30" t="s">
        <v>20</v>
      </c>
      <c r="U48" s="57"/>
      <c r="V48" s="57"/>
      <c r="W48" s="57"/>
      <c r="X48" s="57"/>
    </row>
    <row r="49" spans="2:24" ht="21.6" customHeight="1">
      <c r="B49" s="60">
        <v>45860</v>
      </c>
      <c r="C49" s="30" t="s">
        <v>265</v>
      </c>
      <c r="D49" s="59">
        <v>199956677</v>
      </c>
      <c r="E49" s="30" t="s">
        <v>8</v>
      </c>
      <c r="F49" s="30" t="s">
        <v>200</v>
      </c>
      <c r="G49" s="30">
        <v>100</v>
      </c>
      <c r="H49" s="30">
        <v>1</v>
      </c>
      <c r="I49" s="32">
        <v>55</v>
      </c>
      <c r="J49" s="32">
        <v>0</v>
      </c>
      <c r="K49" s="32">
        <v>0</v>
      </c>
      <c r="L49" s="32">
        <f t="shared" si="1"/>
        <v>55</v>
      </c>
      <c r="M49" s="30" t="s">
        <v>75</v>
      </c>
      <c r="N49" s="30" t="s">
        <v>20</v>
      </c>
      <c r="U49" s="57"/>
      <c r="V49" s="57"/>
      <c r="W49" s="57"/>
      <c r="X49" s="57"/>
    </row>
    <row r="50" spans="2:24" ht="21.6" customHeight="1">
      <c r="B50" s="60">
        <v>45860</v>
      </c>
      <c r="C50" s="30" t="s">
        <v>249</v>
      </c>
      <c r="D50" s="59">
        <v>230682219</v>
      </c>
      <c r="E50" s="30" t="s">
        <v>8</v>
      </c>
      <c r="F50" s="30" t="s">
        <v>200</v>
      </c>
      <c r="G50" s="30">
        <v>101</v>
      </c>
      <c r="H50" s="30">
        <v>1</v>
      </c>
      <c r="I50" s="32">
        <v>50</v>
      </c>
      <c r="J50" s="32">
        <v>0</v>
      </c>
      <c r="K50" s="32">
        <v>0</v>
      </c>
      <c r="L50" s="32">
        <f t="shared" si="1"/>
        <v>50</v>
      </c>
      <c r="M50" s="30" t="s">
        <v>75</v>
      </c>
      <c r="N50" s="30" t="s">
        <v>20</v>
      </c>
      <c r="U50" s="57"/>
      <c r="V50" s="57"/>
      <c r="W50" s="57"/>
      <c r="X50" s="57"/>
    </row>
    <row r="51" spans="2:24" ht="21.6" customHeight="1">
      <c r="B51" s="60">
        <v>45860</v>
      </c>
      <c r="C51" s="30" t="s">
        <v>292</v>
      </c>
      <c r="D51" s="59">
        <v>239535332</v>
      </c>
      <c r="E51" s="30" t="s">
        <v>8</v>
      </c>
      <c r="F51" s="30" t="s">
        <v>199</v>
      </c>
      <c r="G51" s="30">
        <v>102</v>
      </c>
      <c r="H51" s="30">
        <v>1</v>
      </c>
      <c r="I51" s="32">
        <v>85</v>
      </c>
      <c r="J51" s="32">
        <v>0</v>
      </c>
      <c r="K51" s="32">
        <v>0</v>
      </c>
      <c r="L51" s="32">
        <f t="shared" si="1"/>
        <v>85</v>
      </c>
      <c r="M51" s="30" t="s">
        <v>75</v>
      </c>
      <c r="N51" s="30" t="s">
        <v>20</v>
      </c>
      <c r="U51" s="57"/>
      <c r="V51" s="57"/>
      <c r="W51" s="57"/>
      <c r="X51" s="57"/>
    </row>
    <row r="52" spans="2:24" ht="21.6" customHeight="1">
      <c r="B52" s="60">
        <v>45861</v>
      </c>
      <c r="C52" s="30" t="s">
        <v>293</v>
      </c>
      <c r="D52" s="59">
        <v>244894000</v>
      </c>
      <c r="E52" s="30" t="s">
        <v>8</v>
      </c>
      <c r="F52" s="30" t="s">
        <v>199</v>
      </c>
      <c r="G52" s="30">
        <v>103</v>
      </c>
      <c r="H52" s="30">
        <v>1</v>
      </c>
      <c r="I52" s="32">
        <v>85</v>
      </c>
      <c r="J52" s="32">
        <v>0</v>
      </c>
      <c r="K52" s="32">
        <v>0</v>
      </c>
      <c r="L52" s="32">
        <f t="shared" si="1"/>
        <v>85</v>
      </c>
      <c r="M52" s="30" t="s">
        <v>75</v>
      </c>
      <c r="N52" s="30" t="s">
        <v>20</v>
      </c>
      <c r="U52" s="57"/>
      <c r="V52" s="57"/>
      <c r="W52" s="57"/>
      <c r="X52" s="57"/>
    </row>
    <row r="53" spans="2:24" ht="21.6" customHeight="1">
      <c r="B53" s="60">
        <v>45862</v>
      </c>
      <c r="C53" s="30" t="s">
        <v>294</v>
      </c>
      <c r="D53" s="59">
        <v>0</v>
      </c>
      <c r="E53" s="30" t="s">
        <v>8</v>
      </c>
      <c r="F53" s="30" t="s">
        <v>199</v>
      </c>
      <c r="H53" s="30">
        <v>1</v>
      </c>
      <c r="I53" s="32">
        <v>42</v>
      </c>
      <c r="J53" s="32">
        <v>0</v>
      </c>
      <c r="K53" s="32">
        <v>0</v>
      </c>
      <c r="L53" s="32">
        <f t="shared" si="1"/>
        <v>42</v>
      </c>
      <c r="M53" s="30" t="s">
        <v>75</v>
      </c>
      <c r="N53" s="30" t="s">
        <v>18</v>
      </c>
      <c r="U53" s="57"/>
      <c r="V53" s="57"/>
      <c r="W53" s="57"/>
      <c r="X53" s="57"/>
    </row>
    <row r="54" spans="2:24" ht="21.6" customHeight="1">
      <c r="B54" s="60">
        <v>45862</v>
      </c>
      <c r="C54" s="30" t="s">
        <v>249</v>
      </c>
      <c r="D54" s="59">
        <v>230682219</v>
      </c>
      <c r="E54" s="30" t="s">
        <v>8</v>
      </c>
      <c r="F54" s="30" t="s">
        <v>200</v>
      </c>
      <c r="G54" s="30">
        <v>104</v>
      </c>
      <c r="H54" s="30">
        <v>1</v>
      </c>
      <c r="I54" s="32">
        <v>50</v>
      </c>
      <c r="J54" s="32">
        <v>0</v>
      </c>
      <c r="K54" s="32">
        <v>0</v>
      </c>
      <c r="L54" s="32">
        <f t="shared" si="1"/>
        <v>50</v>
      </c>
      <c r="M54" s="30" t="s">
        <v>75</v>
      </c>
      <c r="N54" s="30" t="s">
        <v>20</v>
      </c>
      <c r="U54" s="57"/>
      <c r="V54" s="57"/>
      <c r="W54" s="57"/>
      <c r="X54" s="57"/>
    </row>
    <row r="55" spans="2:24" ht="21.6" customHeight="1">
      <c r="B55" s="60">
        <v>45863</v>
      </c>
      <c r="C55" s="30" t="s">
        <v>295</v>
      </c>
      <c r="D55" s="59">
        <v>253607795</v>
      </c>
      <c r="E55" s="30" t="s">
        <v>8</v>
      </c>
      <c r="F55" s="30" t="s">
        <v>199</v>
      </c>
      <c r="G55" s="30">
        <v>105</v>
      </c>
      <c r="H55" s="30">
        <v>1</v>
      </c>
      <c r="I55" s="32">
        <v>85</v>
      </c>
      <c r="J55" s="32">
        <v>0</v>
      </c>
      <c r="K55" s="32">
        <v>0</v>
      </c>
      <c r="L55" s="32">
        <f t="shared" si="1"/>
        <v>85</v>
      </c>
      <c r="M55" s="30" t="s">
        <v>75</v>
      </c>
      <c r="N55" s="30" t="s">
        <v>20</v>
      </c>
      <c r="U55" s="57"/>
      <c r="V55" s="57"/>
      <c r="W55" s="57"/>
      <c r="X55" s="57"/>
    </row>
    <row r="56" spans="2:24" ht="21.6" customHeight="1">
      <c r="B56" s="60">
        <v>45863</v>
      </c>
      <c r="C56" s="30" t="s">
        <v>286</v>
      </c>
      <c r="D56" s="59">
        <v>0</v>
      </c>
      <c r="E56" s="30" t="s">
        <v>8</v>
      </c>
      <c r="F56" s="30" t="s">
        <v>201</v>
      </c>
      <c r="H56" s="30">
        <v>1</v>
      </c>
      <c r="I56" s="32">
        <v>308</v>
      </c>
      <c r="J56" s="32">
        <v>0</v>
      </c>
      <c r="K56" s="32">
        <v>0</v>
      </c>
      <c r="L56" s="32">
        <f t="shared" si="1"/>
        <v>308</v>
      </c>
      <c r="M56" s="30" t="s">
        <v>75</v>
      </c>
      <c r="N56" s="30" t="s">
        <v>18</v>
      </c>
      <c r="U56" s="57"/>
      <c r="V56" s="57"/>
      <c r="W56" s="57"/>
      <c r="X56" s="57"/>
    </row>
    <row r="57" spans="2:24" ht="21.6" customHeight="1">
      <c r="B57" s="60">
        <v>45864</v>
      </c>
      <c r="C57" s="30" t="s">
        <v>260</v>
      </c>
      <c r="D57" s="59">
        <v>283743719</v>
      </c>
      <c r="E57" s="30" t="s">
        <v>8</v>
      </c>
      <c r="F57" s="30" t="s">
        <v>201</v>
      </c>
      <c r="G57" s="30">
        <v>106</v>
      </c>
      <c r="H57" s="30">
        <v>1</v>
      </c>
      <c r="I57" s="32">
        <v>400</v>
      </c>
      <c r="J57" s="32">
        <v>0</v>
      </c>
      <c r="K57" s="32">
        <v>0</v>
      </c>
      <c r="L57" s="32">
        <f t="shared" si="1"/>
        <v>400</v>
      </c>
      <c r="M57" s="30" t="s">
        <v>75</v>
      </c>
      <c r="N57" s="30" t="s">
        <v>20</v>
      </c>
      <c r="U57" s="57"/>
      <c r="V57" s="57"/>
      <c r="W57" s="57"/>
      <c r="X57" s="57"/>
    </row>
    <row r="58" spans="2:24" ht="21.6" customHeight="1">
      <c r="B58" s="60">
        <v>45864</v>
      </c>
      <c r="C58" s="30" t="s">
        <v>265</v>
      </c>
      <c r="D58" s="59">
        <v>199956677</v>
      </c>
      <c r="E58" s="30" t="s">
        <v>8</v>
      </c>
      <c r="F58" s="30" t="s">
        <v>200</v>
      </c>
      <c r="G58" s="30">
        <v>107</v>
      </c>
      <c r="H58" s="30">
        <v>1</v>
      </c>
      <c r="I58" s="32">
        <v>55</v>
      </c>
      <c r="J58" s="32">
        <v>0</v>
      </c>
      <c r="K58" s="32">
        <v>0</v>
      </c>
      <c r="L58" s="32">
        <f t="shared" si="1"/>
        <v>55</v>
      </c>
      <c r="M58" s="30" t="s">
        <v>75</v>
      </c>
      <c r="N58" s="30" t="s">
        <v>20</v>
      </c>
      <c r="U58" s="57"/>
      <c r="V58" s="57"/>
      <c r="W58" s="57"/>
      <c r="X58" s="57"/>
    </row>
    <row r="59" spans="2:24" ht="21.6" customHeight="1">
      <c r="B59" s="60">
        <v>45866</v>
      </c>
      <c r="C59" s="30" t="s">
        <v>265</v>
      </c>
      <c r="D59" s="59">
        <v>199956677</v>
      </c>
      <c r="E59" s="30" t="s">
        <v>8</v>
      </c>
      <c r="F59" s="30" t="s">
        <v>200</v>
      </c>
      <c r="G59" s="30">
        <v>108</v>
      </c>
      <c r="H59" s="30">
        <v>1</v>
      </c>
      <c r="I59" s="32">
        <v>55</v>
      </c>
      <c r="J59" s="32">
        <v>0</v>
      </c>
      <c r="K59" s="32">
        <v>0</v>
      </c>
      <c r="L59" s="32">
        <f t="shared" si="1"/>
        <v>55</v>
      </c>
      <c r="M59" s="30" t="s">
        <v>75</v>
      </c>
      <c r="N59" s="30" t="s">
        <v>20</v>
      </c>
      <c r="U59" s="57"/>
      <c r="V59" s="57"/>
      <c r="W59" s="57"/>
      <c r="X59" s="57"/>
    </row>
    <row r="60" spans="2:24" ht="21.6" customHeight="1">
      <c r="B60" s="60">
        <v>45867</v>
      </c>
      <c r="C60" s="30" t="s">
        <v>249</v>
      </c>
      <c r="D60" s="59">
        <v>230682219</v>
      </c>
      <c r="E60" s="30" t="s">
        <v>8</v>
      </c>
      <c r="F60" s="30" t="s">
        <v>200</v>
      </c>
      <c r="G60" s="30">
        <v>109</v>
      </c>
      <c r="H60" s="30">
        <v>1</v>
      </c>
      <c r="I60" s="32">
        <v>50</v>
      </c>
      <c r="J60" s="32">
        <v>0</v>
      </c>
      <c r="K60" s="32">
        <v>0</v>
      </c>
      <c r="L60" s="32">
        <f t="shared" si="1"/>
        <v>50</v>
      </c>
      <c r="M60" s="30" t="s">
        <v>75</v>
      </c>
      <c r="N60" s="30" t="s">
        <v>20</v>
      </c>
      <c r="U60" s="57"/>
      <c r="V60" s="57"/>
      <c r="W60" s="57"/>
      <c r="X60" s="57"/>
    </row>
    <row r="61" spans="2:24" ht="21.6" customHeight="1">
      <c r="B61" s="60">
        <v>45868</v>
      </c>
      <c r="C61" s="30" t="s">
        <v>261</v>
      </c>
      <c r="D61" s="59">
        <v>248912062</v>
      </c>
      <c r="E61" s="30" t="s">
        <v>8</v>
      </c>
      <c r="F61" s="30" t="s">
        <v>200</v>
      </c>
      <c r="G61" s="30">
        <v>110</v>
      </c>
      <c r="H61" s="30">
        <v>1</v>
      </c>
      <c r="I61" s="32">
        <v>50</v>
      </c>
      <c r="J61" s="32">
        <v>0</v>
      </c>
      <c r="K61" s="32">
        <v>0</v>
      </c>
      <c r="L61" s="32">
        <f t="shared" si="1"/>
        <v>50</v>
      </c>
      <c r="M61" s="30" t="s">
        <v>75</v>
      </c>
      <c r="N61" s="30" t="s">
        <v>20</v>
      </c>
      <c r="U61" s="57"/>
      <c r="V61" s="57"/>
      <c r="W61" s="57"/>
      <c r="X61" s="57"/>
    </row>
    <row r="62" spans="2:24" ht="21.6" customHeight="1">
      <c r="B62" s="60">
        <v>45867</v>
      </c>
      <c r="C62" s="30" t="s">
        <v>296</v>
      </c>
      <c r="D62" s="59">
        <v>193576503</v>
      </c>
      <c r="E62" s="30" t="s">
        <v>8</v>
      </c>
      <c r="F62" s="30" t="s">
        <v>201</v>
      </c>
      <c r="G62" s="30">
        <v>124</v>
      </c>
      <c r="H62" s="30">
        <v>1</v>
      </c>
      <c r="I62" s="32">
        <v>200</v>
      </c>
      <c r="J62" s="32">
        <v>0</v>
      </c>
      <c r="K62" s="32">
        <v>0</v>
      </c>
      <c r="L62" s="32">
        <f t="shared" si="1"/>
        <v>200</v>
      </c>
      <c r="M62" s="30" t="s">
        <v>75</v>
      </c>
      <c r="N62" s="30" t="s">
        <v>18</v>
      </c>
      <c r="U62" s="57"/>
      <c r="V62" s="57"/>
      <c r="W62" s="57"/>
      <c r="X62" s="57"/>
    </row>
    <row r="63" spans="2:24" ht="21.6" customHeight="1">
      <c r="B63" s="60">
        <v>45867</v>
      </c>
      <c r="C63" s="30" t="s">
        <v>231</v>
      </c>
      <c r="D63" s="59">
        <v>0</v>
      </c>
      <c r="E63" s="30" t="s">
        <v>8</v>
      </c>
      <c r="F63" s="30" t="s">
        <v>201</v>
      </c>
      <c r="H63" s="30">
        <v>1</v>
      </c>
      <c r="I63" s="32">
        <v>308</v>
      </c>
      <c r="J63" s="32">
        <v>0</v>
      </c>
      <c r="K63" s="32">
        <v>0</v>
      </c>
      <c r="L63" s="32">
        <f t="shared" si="1"/>
        <v>308</v>
      </c>
      <c r="M63" s="30" t="s">
        <v>75</v>
      </c>
      <c r="N63" s="30" t="s">
        <v>18</v>
      </c>
      <c r="U63" s="57"/>
      <c r="V63" s="57"/>
      <c r="W63" s="57"/>
      <c r="X63" s="57"/>
    </row>
    <row r="64" spans="2:24" ht="21.6" customHeight="1">
      <c r="B64" s="60">
        <v>45868</v>
      </c>
      <c r="C64" s="30" t="s">
        <v>249</v>
      </c>
      <c r="D64" s="59">
        <v>230682219</v>
      </c>
      <c r="E64" s="30" t="s">
        <v>8</v>
      </c>
      <c r="F64" s="30" t="s">
        <v>200</v>
      </c>
      <c r="G64" s="30">
        <v>111</v>
      </c>
      <c r="H64" s="30">
        <v>1</v>
      </c>
      <c r="I64" s="32">
        <v>50</v>
      </c>
      <c r="J64" s="32">
        <v>0</v>
      </c>
      <c r="K64" s="32">
        <v>0</v>
      </c>
      <c r="L64" s="32">
        <f t="shared" si="1"/>
        <v>50</v>
      </c>
      <c r="M64" s="30" t="s">
        <v>75</v>
      </c>
      <c r="N64" s="30" t="s">
        <v>20</v>
      </c>
      <c r="U64" s="57"/>
      <c r="V64" s="57"/>
      <c r="W64" s="57"/>
      <c r="X64" s="57"/>
    </row>
    <row r="65" spans="2:24" ht="21.6" customHeight="1">
      <c r="B65" s="60">
        <v>45868</v>
      </c>
      <c r="C65" s="30" t="s">
        <v>297</v>
      </c>
      <c r="D65" s="59">
        <v>256299501</v>
      </c>
      <c r="E65" s="30" t="s">
        <v>8</v>
      </c>
      <c r="F65" s="30" t="s">
        <v>199</v>
      </c>
      <c r="G65" s="30">
        <v>112</v>
      </c>
      <c r="H65" s="30">
        <v>1</v>
      </c>
      <c r="I65" s="32">
        <v>85</v>
      </c>
      <c r="J65" s="32">
        <v>0</v>
      </c>
      <c r="K65" s="32">
        <v>0</v>
      </c>
      <c r="L65" s="32">
        <f t="shared" si="1"/>
        <v>85</v>
      </c>
      <c r="M65" s="30" t="s">
        <v>75</v>
      </c>
      <c r="N65" s="30" t="s">
        <v>20</v>
      </c>
      <c r="U65" s="57"/>
      <c r="V65" s="57"/>
      <c r="W65" s="57"/>
      <c r="X65" s="57"/>
    </row>
    <row r="66" spans="2:24" ht="21.6" customHeight="1">
      <c r="B66" s="60">
        <v>45863</v>
      </c>
      <c r="C66" s="30" t="s">
        <v>298</v>
      </c>
      <c r="D66" s="59">
        <v>0</v>
      </c>
      <c r="E66" s="30" t="s">
        <v>8</v>
      </c>
      <c r="F66" s="30" t="s">
        <v>201</v>
      </c>
      <c r="H66" s="30">
        <v>1</v>
      </c>
      <c r="I66" s="32">
        <v>308</v>
      </c>
      <c r="J66" s="32">
        <v>0</v>
      </c>
      <c r="K66" s="32">
        <v>0</v>
      </c>
      <c r="L66" s="32">
        <f t="shared" si="1"/>
        <v>308</v>
      </c>
      <c r="M66" s="30" t="s">
        <v>75</v>
      </c>
      <c r="N66" s="30" t="s">
        <v>18</v>
      </c>
      <c r="U66" s="57"/>
      <c r="V66" s="57"/>
      <c r="W66" s="57"/>
      <c r="X66" s="57"/>
    </row>
    <row r="67" spans="2:24" ht="21.6" customHeight="1">
      <c r="U67" s="57"/>
      <c r="V67" s="57"/>
      <c r="W67" s="57"/>
      <c r="X67" s="57"/>
    </row>
    <row r="68" spans="2:24" ht="21.6" customHeight="1">
      <c r="U68" s="57"/>
      <c r="V68" s="57"/>
      <c r="W68" s="57"/>
      <c r="X68" s="57"/>
    </row>
    <row r="69" spans="2:24" ht="21.6" customHeight="1">
      <c r="U69" s="57"/>
      <c r="V69" s="57"/>
      <c r="W69" s="57"/>
      <c r="X69" s="57"/>
    </row>
    <row r="70" spans="2:24" ht="21.6" customHeight="1">
      <c r="U70" s="57"/>
      <c r="V70" s="57"/>
      <c r="W70" s="57"/>
      <c r="X70" s="57"/>
    </row>
    <row r="71" spans="2:24" ht="21.6" customHeight="1">
      <c r="U71" s="57"/>
      <c r="V71" s="57"/>
      <c r="W71" s="57"/>
      <c r="X71" s="57"/>
    </row>
    <row r="72" spans="2:24" ht="21.6" customHeight="1">
      <c r="U72" s="57"/>
      <c r="V72" s="57"/>
      <c r="W72" s="57"/>
      <c r="X72" s="57"/>
    </row>
    <row r="73" spans="2:24" ht="21.6" customHeight="1">
      <c r="U73" s="57"/>
      <c r="V73" s="57"/>
      <c r="W73" s="57"/>
      <c r="X73" s="57"/>
    </row>
    <row r="74" spans="2:24" ht="21.6" customHeight="1">
      <c r="U74" s="57"/>
      <c r="V74" s="57"/>
      <c r="W74" s="57"/>
      <c r="X74" s="57"/>
    </row>
    <row r="75" spans="2:24" ht="21.6" customHeight="1">
      <c r="U75" s="57"/>
      <c r="V75" s="57"/>
      <c r="W75" s="57"/>
      <c r="X75" s="57"/>
    </row>
    <row r="76" spans="2:24" ht="21.6" customHeight="1">
      <c r="U76" s="57"/>
      <c r="V76" s="57"/>
      <c r="W76" s="57"/>
      <c r="X76" s="57"/>
    </row>
    <row r="77" spans="2:24" ht="21.6" customHeight="1">
      <c r="U77" s="57"/>
      <c r="V77" s="57"/>
      <c r="W77" s="57"/>
      <c r="X77" s="57"/>
    </row>
    <row r="78" spans="2:24" ht="21.6" customHeight="1">
      <c r="U78" s="57"/>
      <c r="V78" s="57"/>
      <c r="W78" s="57"/>
      <c r="X78" s="57"/>
    </row>
    <row r="79" spans="2:24" ht="21.6" customHeight="1">
      <c r="U79" s="57"/>
      <c r="V79" s="57"/>
      <c r="W79" s="57"/>
      <c r="X79" s="57"/>
    </row>
    <row r="80" spans="2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  <row r="990" spans="21:24" ht="21.6" customHeight="1">
      <c r="U990" s="57"/>
      <c r="V990" s="57"/>
      <c r="W990" s="57"/>
      <c r="X990" s="57"/>
    </row>
    <row r="991" spans="21:24" ht="21.6" customHeight="1">
      <c r="U991" s="57"/>
      <c r="V991" s="57"/>
      <c r="W991" s="57"/>
      <c r="X991" s="57"/>
    </row>
    <row r="992" spans="21:24" ht="21.6" customHeight="1">
      <c r="U992" s="57"/>
      <c r="V992" s="57"/>
      <c r="W992" s="57"/>
      <c r="X992" s="57"/>
    </row>
    <row r="993" spans="21:24" ht="21.6" customHeight="1">
      <c r="U993" s="57"/>
      <c r="V993" s="57"/>
      <c r="W993" s="57"/>
      <c r="X993" s="57"/>
    </row>
    <row r="994" spans="21:24" ht="21.6" customHeight="1">
      <c r="U994" s="57"/>
      <c r="V994" s="57"/>
      <c r="W994" s="57"/>
      <c r="X994" s="57"/>
    </row>
    <row r="995" spans="21:24" ht="21.6" customHeight="1">
      <c r="U995" s="57"/>
      <c r="V995" s="57"/>
      <c r="W995" s="57"/>
      <c r="X995" s="57"/>
    </row>
    <row r="996" spans="21:24" ht="21.6" customHeight="1">
      <c r="U996" s="57"/>
      <c r="V996" s="57"/>
      <c r="W996" s="57"/>
      <c r="X996" s="57"/>
    </row>
    <row r="997" spans="21:24" ht="21.6" customHeight="1">
      <c r="U997" s="57"/>
      <c r="V997" s="57"/>
      <c r="W997" s="57"/>
      <c r="X997" s="57"/>
    </row>
    <row r="998" spans="21:24" ht="21.6" customHeight="1">
      <c r="U998" s="57"/>
      <c r="V998" s="57"/>
      <c r="W998" s="57"/>
      <c r="X998" s="57"/>
    </row>
    <row r="999" spans="21:24" ht="21.6" customHeight="1">
      <c r="U999" s="57"/>
      <c r="V999" s="57"/>
      <c r="W999" s="57"/>
      <c r="X999" s="57"/>
    </row>
    <row r="1000" spans="21:24" ht="21.6" customHeight="1">
      <c r="U1000" s="57"/>
      <c r="V1000" s="57"/>
      <c r="W1000" s="57"/>
      <c r="X1000" s="57"/>
    </row>
    <row r="1001" spans="21:24" ht="21.6" customHeight="1">
      <c r="U1001" s="57"/>
      <c r="V1001" s="57"/>
      <c r="W1001" s="57"/>
      <c r="X1001" s="57"/>
    </row>
    <row r="1002" spans="21:24" ht="21.6" customHeight="1">
      <c r="U1002" s="57"/>
      <c r="V1002" s="57"/>
      <c r="W1002" s="57"/>
      <c r="X1002" s="57"/>
    </row>
  </sheetData>
  <mergeCells count="22">
    <mergeCell ref="G10:H10"/>
    <mergeCell ref="O7:P7"/>
    <mergeCell ref="U7:V7"/>
    <mergeCell ref="C8:D8"/>
    <mergeCell ref="G8:H8"/>
    <mergeCell ref="C9:D9"/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</mergeCells>
  <conditionalFormatting sqref="B4:C5 C6:C10 B7:B10">
    <cfRule type="expression" dxfId="98" priority="25">
      <formula>$B4="Resultado Líquido"</formula>
    </cfRule>
    <cfRule type="expression" dxfId="97" priority="26">
      <formula>OR($B4="Faturação",$B4="Despesas")</formula>
    </cfRule>
  </conditionalFormatting>
  <conditionalFormatting sqref="B11:C12">
    <cfRule type="expression" dxfId="96" priority="27">
      <formula>$B11="Resultado Líquido"</formula>
    </cfRule>
    <cfRule type="expression" dxfId="95" priority="28">
      <formula>OR($B11="Faturação",$B11="Despesas")</formula>
    </cfRule>
  </conditionalFormatting>
  <conditionalFormatting sqref="B23:M23 B24:C24 E24:M24 B38:M38 B39:C39 E39:M39 B40:M40 B41:C41 E41:M41 B42:M43 B44:C44 E44:M44 B45:M47 B48:C50 E48:M50 B51:M53 B54:C54 E54:M54 B55:M57 B58:C62 E58:M62 B63:M63 B64:C64 E64:M64 B65:M1048576">
    <cfRule type="expression" dxfId="94" priority="32">
      <formula>$B23="Total"</formula>
    </cfRule>
  </conditionalFormatting>
  <conditionalFormatting sqref="D16">
    <cfRule type="expression" dxfId="93" priority="20">
      <formula>$B16="Total"</formula>
    </cfRule>
  </conditionalFormatting>
  <conditionalFormatting sqref="D17">
    <cfRule type="expression" dxfId="92" priority="19">
      <formula>#REF!="Total"</formula>
    </cfRule>
  </conditionalFormatting>
  <conditionalFormatting sqref="D18">
    <cfRule type="expression" dxfId="91" priority="18">
      <formula>$B18="Total"</formula>
    </cfRule>
  </conditionalFormatting>
  <conditionalFormatting sqref="D20">
    <cfRule type="expression" dxfId="90" priority="17">
      <formula>#REF!="Total"</formula>
    </cfRule>
  </conditionalFormatting>
  <conditionalFormatting sqref="D24:D25">
    <cfRule type="expression" dxfId="89" priority="15">
      <formula>$B24="Total"</formula>
    </cfRule>
  </conditionalFormatting>
  <conditionalFormatting sqref="D26">
    <cfRule type="expression" dxfId="88" priority="14">
      <formula>#REF!="Total"</formula>
    </cfRule>
  </conditionalFormatting>
  <conditionalFormatting sqref="D29">
    <cfRule type="expression" dxfId="87" priority="13">
      <formula>$B29="Total"</formula>
    </cfRule>
  </conditionalFormatting>
  <conditionalFormatting sqref="D32">
    <cfRule type="expression" dxfId="86" priority="12">
      <formula>$B32="Total"</formula>
    </cfRule>
  </conditionalFormatting>
  <conditionalFormatting sqref="D37">
    <cfRule type="expression" dxfId="85" priority="11">
      <formula>#REF!="Total"</formula>
    </cfRule>
  </conditionalFormatting>
  <conditionalFormatting sqref="D39">
    <cfRule type="expression" dxfId="84" priority="10">
      <formula>$B39="Total"</formula>
    </cfRule>
  </conditionalFormatting>
  <conditionalFormatting sqref="D41">
    <cfRule type="expression" dxfId="83" priority="9">
      <formula>$B41="Total"</formula>
    </cfRule>
  </conditionalFormatting>
  <conditionalFormatting sqref="D44">
    <cfRule type="expression" dxfId="82" priority="8">
      <formula>#REF!="Total"</formula>
    </cfRule>
  </conditionalFormatting>
  <conditionalFormatting sqref="D48:D49">
    <cfRule type="expression" dxfId="81" priority="7">
      <formula>#REF!="Total"</formula>
    </cfRule>
  </conditionalFormatting>
  <conditionalFormatting sqref="D50">
    <cfRule type="expression" dxfId="80" priority="6">
      <formula>$B50="Total"</formula>
    </cfRule>
  </conditionalFormatting>
  <conditionalFormatting sqref="D54">
    <cfRule type="expression" dxfId="79" priority="5">
      <formula>$B54="Total"</formula>
    </cfRule>
  </conditionalFormatting>
  <conditionalFormatting sqref="D58:D59">
    <cfRule type="expression" dxfId="78" priority="4">
      <formula>#REF!="Total"</formula>
    </cfRule>
  </conditionalFormatting>
  <conditionalFormatting sqref="D60">
    <cfRule type="expression" dxfId="77" priority="3">
      <formula>$B60="Total"</formula>
    </cfRule>
  </conditionalFormatting>
  <conditionalFormatting sqref="D62">
    <cfRule type="expression" dxfId="76" priority="2">
      <formula>#REF!="Total"</formula>
    </cfRule>
  </conditionalFormatting>
  <conditionalFormatting sqref="D64">
    <cfRule type="expression" dxfId="75" priority="1">
      <formula>$B64="Total"</formula>
    </cfRule>
  </conditionalFormatting>
  <conditionalFormatting sqref="E25:M27 D28:M28 E29:M30 D31:M31 E32:M32 D33:M33 E34:M34 D35:M35 E36:M37">
    <cfRule type="expression" dxfId="74" priority="34">
      <formula>#REF!="Total"</formula>
    </cfRule>
  </conditionalFormatting>
  <conditionalFormatting sqref="G5:G8">
    <cfRule type="expression" dxfId="73" priority="23">
      <formula>$B5="Resultado Líquido"</formula>
    </cfRule>
    <cfRule type="expression" dxfId="72" priority="24">
      <formula>OR($B5="Faturação",$B5="Despesas")</formula>
    </cfRule>
  </conditionalFormatting>
  <conditionalFormatting sqref="G10">
    <cfRule type="expression" dxfId="71" priority="21">
      <formula>$B10="Resultado Líquido"</formula>
    </cfRule>
    <cfRule type="expression" dxfId="70" priority="22">
      <formula>OR($B10="Faturação",$B10="Despesas")</formula>
    </cfRule>
  </conditionalFormatting>
  <conditionalFormatting sqref="O23:O26">
    <cfRule type="expression" dxfId="69" priority="33">
      <formula>#REF!="Total"</formula>
    </cfRule>
  </conditionalFormatting>
  <conditionalFormatting sqref="P15:Y26 P27:P37 S27:Y37 P38:Y1048576">
    <cfRule type="expression" dxfId="68" priority="31">
      <formula>$P15="Total"</formula>
    </cfRule>
  </conditionalFormatting>
  <dataValidations count="9">
    <dataValidation type="list" allowBlank="1" showInputMessage="1" showErrorMessage="1" sqref="T16:T22" xr:uid="{556143D6-2680-48ED-9315-0748F589FB60}">
      <formula1>Filtro_Desp</formula1>
    </dataValidation>
    <dataValidation type="list" allowBlank="1" showInputMessage="1" showErrorMessage="1" sqref="X16:X22" xr:uid="{D08D9BDA-1040-4887-B96F-1A481D87B6B1}">
      <formula1>"Pago,Pendente,Vencido"</formula1>
    </dataValidation>
    <dataValidation type="list" allowBlank="1" showErrorMessage="1" sqref="M16:M66" xr:uid="{ED8262CD-04B3-42DB-B739-E632CD76DAE7}">
      <formula1>"Pago,Pendente,Vencido"</formula1>
    </dataValidation>
    <dataValidation type="list" allowBlank="1" showInputMessage="1" showErrorMessage="1" sqref="E16:E66" xr:uid="{AC6CF078-A024-4CFD-BCDC-68B3177DA5AF}">
      <formula1>"Produtos,Serviços"</formula1>
    </dataValidation>
    <dataValidation type="whole" allowBlank="1" showInputMessage="1" showErrorMessage="1" sqref="R16:R22 D16:D66" xr:uid="{117409A3-6DE5-4DCC-8017-19EAFBF5F38D}">
      <formula1>0</formula1>
      <formula2>999999999</formula2>
    </dataValidation>
    <dataValidation type="date" allowBlank="1" showInputMessage="1" showErrorMessage="1" sqref="P16:P22 B16:B66" xr:uid="{1BA78EC0-7146-4302-B616-E5FA6369D63F}">
      <formula1>43831</formula1>
      <formula2>73050</formula2>
    </dataValidation>
    <dataValidation type="list" allowBlank="1" showErrorMessage="1" sqref="N16:N66" xr:uid="{6A4F2AB6-CDB3-434E-BBA6-6277EA16914D}">
      <formula1>Filtro_Pag</formula1>
    </dataValidation>
    <dataValidation type="list" allowBlank="1" showInputMessage="1" showErrorMessage="1" sqref="Y16:Y22" xr:uid="{DD72DC52-7A78-41E5-897D-1EEBE0D5CB0A}">
      <formula1>Filtro_Pag</formula1>
    </dataValidation>
    <dataValidation type="list" allowBlank="1" showInputMessage="1" showErrorMessage="1" sqref="F16:F66" xr:uid="{AA495623-B8B2-47C0-928A-4BD0EB92F84B}">
      <formula1>INDIRECT($E16)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D56F-C503-4B2C-8D3A-D4A7DF96CD27}">
  <sheetPr codeName="Folha12"/>
  <dimension ref="A1:TX987"/>
  <sheetViews>
    <sheetView showGridLines="0" tabSelected="1" topLeftCell="A4" zoomScale="59" zoomScaleNormal="59" workbookViewId="0">
      <selection activeCell="C31" sqref="C31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21.4414062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3.88671875" style="30" customWidth="1"/>
    <col min="18" max="18" width="14.6640625" style="59" customWidth="1"/>
    <col min="19" max="19" width="15.44140625" style="30" customWidth="1"/>
    <col min="20" max="20" width="16.3320312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111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112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 t="s" cm="1">
        <v>72</v>
      </c>
      <c r="TS2" s="127" t="s" cm="1">
        <v>12</v>
      </c>
      <c r="TT2" s="127" cm="1">
        <v>315</v>
      </c>
      <c r="TU2" s="127"/>
      <c r="TV2" s="127" t="s" cm="1">
        <v>72</v>
      </c>
      <c r="TW2" s="127" t="s">
        <v>12</v>
      </c>
      <c r="TX2" s="127" cm="1">
        <v>315</v>
      </c>
    </row>
    <row r="3" spans="1:544" ht="36.9" customHeight="1">
      <c r="C3" s="233" t="s">
        <v>113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2422.5</v>
      </c>
      <c r="G5" s="235" t="s">
        <v>71</v>
      </c>
      <c r="H5" s="235"/>
      <c r="I5" s="166">
        <f ca="1">SUM(I6:I8)</f>
        <v>0</v>
      </c>
      <c r="J5" s="31"/>
      <c r="K5" s="31"/>
      <c r="L5" s="170" t="s">
        <v>72</v>
      </c>
      <c r="M5" s="171">
        <f>+L14</f>
        <v>2422.5</v>
      </c>
      <c r="N5" s="168" t="s">
        <v>73</v>
      </c>
      <c r="O5" s="231">
        <f ca="1">+SUMIF(M16:M2599,"Pago",L16:L2499)</f>
        <v>2422.5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202.5</v>
      </c>
      <c r="F6" s="30"/>
      <c r="G6" s="234" t="s">
        <v>6</v>
      </c>
      <c r="H6" s="234"/>
      <c r="I6" s="167">
        <f ca="1">+SUMIF(T16:T199994,G6,U16:U4994)</f>
        <v>0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404</v>
      </c>
      <c r="F7" s="30"/>
      <c r="G7" s="234" t="s">
        <v>5</v>
      </c>
      <c r="H7" s="234"/>
      <c r="I7" s="167">
        <f ca="1">+SUMIF(T16:T199994,G7,U16:U4994)</f>
        <v>0</v>
      </c>
      <c r="J7" s="32"/>
      <c r="K7" s="32"/>
      <c r="L7" s="170" t="s">
        <v>4</v>
      </c>
      <c r="M7" s="171">
        <f>+W14</f>
        <v>0</v>
      </c>
      <c r="N7" s="168" t="s">
        <v>75</v>
      </c>
      <c r="O7" s="231">
        <f ca="1">+SUMIF(X16:X2599,"Pago",W16:W2499)</f>
        <v>0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1816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2422.5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+SUM(Fat_Ago[Base])</f>
        <v>2422.5</v>
      </c>
      <c r="J14" s="52">
        <f>+SUM(Fat_Ago[[IVA ]])</f>
        <v>0</v>
      </c>
      <c r="K14" s="52">
        <f>+SUM(Fat_Ago[Retenção])</f>
        <v>0</v>
      </c>
      <c r="L14" s="52">
        <f>+SUM(Fat_Ago[Total])</f>
        <v>2422.5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+SUM(Desp_Ago[Base])</f>
        <v>0</v>
      </c>
      <c r="V14" s="52">
        <f>SUM(Desp_Ago[[IVA ]])</f>
        <v>0</v>
      </c>
      <c r="W14" s="52">
        <f>SUM(Desp_Ago[Total])</f>
        <v>0</v>
      </c>
      <c r="X14" s="133"/>
      <c r="Y14" s="133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60">
        <v>45871</v>
      </c>
      <c r="C16" s="280" t="s">
        <v>361</v>
      </c>
      <c r="D16" s="59">
        <v>199956677</v>
      </c>
      <c r="E16" s="30" t="s">
        <v>8</v>
      </c>
      <c r="F16" s="30" t="s">
        <v>200</v>
      </c>
      <c r="G16" s="30">
        <v>113</v>
      </c>
      <c r="H16" s="30">
        <v>1</v>
      </c>
      <c r="I16" s="32">
        <v>55</v>
      </c>
      <c r="J16" s="32">
        <v>0</v>
      </c>
      <c r="K16" s="32">
        <v>0</v>
      </c>
      <c r="L16" s="32">
        <f>+I16+J16-K16</f>
        <v>55</v>
      </c>
      <c r="M16" s="30" t="s">
        <v>75</v>
      </c>
      <c r="N16" s="30" t="s">
        <v>20</v>
      </c>
      <c r="O16" s="29"/>
      <c r="Q16" s="138"/>
      <c r="V16" s="32">
        <f>+Desp_Ago[[#This Row],[Base]]*0.23</f>
        <v>0</v>
      </c>
      <c r="W16" s="32">
        <f>+Desp_Ago[[#This Row],[Base]]+Desp_Ago[[#This Row],[IVA ]]</f>
        <v>0</v>
      </c>
      <c r="Y16" s="138"/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60">
        <v>45873</v>
      </c>
      <c r="C17" s="280" t="s">
        <v>362</v>
      </c>
      <c r="D17" s="59">
        <v>283095083</v>
      </c>
      <c r="E17" s="30" t="s">
        <v>8</v>
      </c>
      <c r="F17" s="30" t="s">
        <v>199</v>
      </c>
      <c r="G17" s="30">
        <v>114</v>
      </c>
      <c r="H17" s="30">
        <v>1</v>
      </c>
      <c r="I17" s="32">
        <v>85</v>
      </c>
      <c r="J17" s="32">
        <v>0</v>
      </c>
      <c r="K17" s="32">
        <v>0</v>
      </c>
      <c r="L17" s="32">
        <f t="shared" ref="L17:L18" si="0">+I17+J17-K17</f>
        <v>85</v>
      </c>
      <c r="M17" s="30" t="s">
        <v>75</v>
      </c>
      <c r="N17" s="30" t="s">
        <v>20</v>
      </c>
      <c r="O17" s="29"/>
      <c r="Q17" s="138"/>
      <c r="V17" s="32">
        <f>+Desp_Ago[[#This Row],[Base]]*0.23</f>
        <v>0</v>
      </c>
      <c r="W17" s="32">
        <f>+Desp_Ago[[#This Row],[Base]]+Desp_Ago[[#This Row],[IVA ]]</f>
        <v>0</v>
      </c>
      <c r="Y17" s="138"/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60">
        <v>45873</v>
      </c>
      <c r="C18" s="280" t="s">
        <v>329</v>
      </c>
      <c r="D18" s="59">
        <v>276603796</v>
      </c>
      <c r="E18" s="30" t="s">
        <v>8</v>
      </c>
      <c r="F18" s="30" t="s">
        <v>199</v>
      </c>
      <c r="G18" s="30">
        <v>115</v>
      </c>
      <c r="H18" s="30">
        <v>1</v>
      </c>
      <c r="I18" s="32">
        <v>42.5</v>
      </c>
      <c r="J18" s="32">
        <v>0</v>
      </c>
      <c r="K18" s="32">
        <v>0</v>
      </c>
      <c r="L18" s="32">
        <f t="shared" si="0"/>
        <v>42.5</v>
      </c>
      <c r="M18" s="30" t="s">
        <v>75</v>
      </c>
      <c r="N18" s="30" t="s">
        <v>18</v>
      </c>
      <c r="O18" s="29"/>
      <c r="Q18" s="138"/>
      <c r="V18" s="32">
        <f>+Desp_Ago[[#This Row],[Base]]*0.23</f>
        <v>0</v>
      </c>
      <c r="W18" s="32">
        <f>+Desp_Ago[[#This Row],[Base]]+Desp_Ago[[#This Row],[IVA ]]</f>
        <v>0</v>
      </c>
      <c r="Y18" s="138"/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60">
        <v>45873</v>
      </c>
      <c r="C19" s="280" t="s">
        <v>363</v>
      </c>
      <c r="D19" s="59">
        <v>230470785</v>
      </c>
      <c r="E19" s="30" t="s">
        <v>8</v>
      </c>
      <c r="F19" s="30" t="s">
        <v>201</v>
      </c>
      <c r="G19" s="30">
        <v>116</v>
      </c>
      <c r="H19" s="30">
        <v>1</v>
      </c>
      <c r="I19" s="32">
        <v>400</v>
      </c>
      <c r="J19" s="32">
        <v>0</v>
      </c>
      <c r="K19" s="32">
        <v>0</v>
      </c>
      <c r="L19" s="32">
        <f>+I19+J19-K19</f>
        <v>400</v>
      </c>
      <c r="M19" s="30" t="s">
        <v>75</v>
      </c>
      <c r="N19" s="30" t="s">
        <v>20</v>
      </c>
      <c r="O19" s="29"/>
      <c r="V19" s="32">
        <f>+Desp_Ago[[#This Row],[Base]]*0.23</f>
        <v>0</v>
      </c>
      <c r="W19" s="32">
        <f>+Desp_Ago[[#This Row],[Base]]+Desp_Ago[[#This Row],[IVA ]]</f>
        <v>0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60">
        <v>45876</v>
      </c>
      <c r="C20" s="280" t="s">
        <v>364</v>
      </c>
      <c r="D20" s="59">
        <v>230682219</v>
      </c>
      <c r="E20" s="30" t="s">
        <v>8</v>
      </c>
      <c r="F20" s="30" t="s">
        <v>200</v>
      </c>
      <c r="G20" s="30">
        <v>117</v>
      </c>
      <c r="H20" s="30">
        <v>1</v>
      </c>
      <c r="I20" s="32">
        <v>50</v>
      </c>
      <c r="J20" s="32">
        <v>0</v>
      </c>
      <c r="K20" s="32">
        <v>0</v>
      </c>
      <c r="L20" s="32">
        <f>+I20+J20-K20</f>
        <v>50</v>
      </c>
      <c r="M20" s="30" t="s">
        <v>75</v>
      </c>
      <c r="N20" s="30" t="s">
        <v>20</v>
      </c>
      <c r="O20" s="29"/>
      <c r="V20" s="32">
        <f>+Desp_Ago[[#This Row],[Base]]*0.23</f>
        <v>0</v>
      </c>
      <c r="W20" s="32">
        <f>+Desp_Ago[[#This Row],[Base]]+Desp_Ago[[#This Row],[IVA ]]</f>
        <v>0</v>
      </c>
    </row>
    <row r="21" spans="2:544" ht="21.6" customHeight="1">
      <c r="B21" s="60">
        <v>45876</v>
      </c>
      <c r="C21" s="280" t="s">
        <v>361</v>
      </c>
      <c r="D21" s="59">
        <v>199956677</v>
      </c>
      <c r="E21" s="30" t="s">
        <v>8</v>
      </c>
      <c r="F21" s="30" t="s">
        <v>200</v>
      </c>
      <c r="G21" s="30">
        <v>118</v>
      </c>
      <c r="H21" s="30">
        <v>1</v>
      </c>
      <c r="I21" s="32">
        <v>55</v>
      </c>
      <c r="J21" s="32">
        <v>0</v>
      </c>
      <c r="K21" s="32">
        <v>0</v>
      </c>
      <c r="L21" s="32">
        <f>+I21+J21-K21</f>
        <v>55</v>
      </c>
      <c r="M21" s="30" t="s">
        <v>75</v>
      </c>
      <c r="N21" s="30" t="s">
        <v>20</v>
      </c>
      <c r="O21" s="29"/>
      <c r="V21" s="32">
        <f>+Desp_Ago[[#This Row],[Base]]*0.23</f>
        <v>0</v>
      </c>
      <c r="W21" s="32">
        <f>+Desp_Ago[[#This Row],[Base]]+Desp_Ago[[#This Row],[IVA ]]</f>
        <v>0</v>
      </c>
    </row>
    <row r="22" spans="2:544" ht="21.6" customHeight="1">
      <c r="B22" s="60">
        <v>45875</v>
      </c>
      <c r="C22" s="280" t="s">
        <v>365</v>
      </c>
      <c r="D22" s="59">
        <v>0</v>
      </c>
      <c r="E22" s="30" t="s">
        <v>8</v>
      </c>
      <c r="F22" s="30" t="s">
        <v>200</v>
      </c>
      <c r="H22" s="30">
        <v>1</v>
      </c>
      <c r="I22" s="32">
        <v>42</v>
      </c>
      <c r="J22" s="32">
        <v>0</v>
      </c>
      <c r="K22" s="32">
        <v>0</v>
      </c>
      <c r="L22" s="32">
        <f>+I22+J22-K22</f>
        <v>42</v>
      </c>
      <c r="M22" s="30" t="s">
        <v>75</v>
      </c>
      <c r="N22" s="30" t="s">
        <v>18</v>
      </c>
      <c r="O22" s="29"/>
      <c r="V22" s="32">
        <f>+Desp_Ago[[#This Row],[Base]]*0.23</f>
        <v>0</v>
      </c>
      <c r="W22" s="32">
        <f>+Desp_Ago[[#This Row],[Base]]+Desp_Ago[[#This Row],[IVA ]]</f>
        <v>0</v>
      </c>
    </row>
    <row r="23" spans="2:544" ht="21.6" customHeight="1">
      <c r="B23" s="60">
        <v>45881</v>
      </c>
      <c r="C23" s="280" t="s">
        <v>366</v>
      </c>
      <c r="D23" s="59">
        <v>289723299</v>
      </c>
      <c r="E23" s="30" t="s">
        <v>8</v>
      </c>
      <c r="F23" s="30" t="s">
        <v>201</v>
      </c>
      <c r="G23" s="30">
        <v>119</v>
      </c>
      <c r="H23" s="30">
        <v>1</v>
      </c>
      <c r="I23" s="32">
        <v>400</v>
      </c>
      <c r="J23" s="32">
        <v>0</v>
      </c>
      <c r="K23" s="32">
        <v>0</v>
      </c>
      <c r="L23" s="32">
        <v>400</v>
      </c>
      <c r="M23" s="30" t="s">
        <v>75</v>
      </c>
      <c r="N23" s="30" t="s">
        <v>18</v>
      </c>
      <c r="O23" s="29"/>
    </row>
    <row r="24" spans="2:544" ht="21.6" customHeight="1">
      <c r="B24" s="60">
        <v>45881</v>
      </c>
      <c r="C24" s="280" t="s">
        <v>364</v>
      </c>
      <c r="D24" s="59">
        <v>230682219</v>
      </c>
      <c r="E24" s="30" t="s">
        <v>8</v>
      </c>
      <c r="F24" s="30" t="s">
        <v>200</v>
      </c>
      <c r="G24" s="30">
        <v>120</v>
      </c>
      <c r="H24" s="30">
        <v>1</v>
      </c>
      <c r="I24" s="32">
        <v>50</v>
      </c>
      <c r="J24" s="32">
        <v>0</v>
      </c>
      <c r="K24" s="32">
        <v>0</v>
      </c>
      <c r="L24" s="32">
        <f>+I24+J24-K24</f>
        <v>50</v>
      </c>
      <c r="M24" s="30" t="s">
        <v>75</v>
      </c>
      <c r="N24" s="30" t="s">
        <v>20</v>
      </c>
      <c r="U24" s="57"/>
      <c r="V24" s="57"/>
      <c r="W24" s="57"/>
      <c r="X24" s="57"/>
    </row>
    <row r="25" spans="2:544" ht="21.6" customHeight="1">
      <c r="B25" s="60">
        <v>45882</v>
      </c>
      <c r="C25" s="280" t="s">
        <v>367</v>
      </c>
      <c r="D25" s="59">
        <v>0</v>
      </c>
      <c r="E25" s="30" t="s">
        <v>8</v>
      </c>
      <c r="F25" s="30" t="s">
        <v>201</v>
      </c>
      <c r="H25" s="30">
        <v>1</v>
      </c>
      <c r="I25" s="32">
        <v>308</v>
      </c>
      <c r="J25" s="32">
        <v>0</v>
      </c>
      <c r="K25" s="32">
        <v>0</v>
      </c>
      <c r="L25" s="32">
        <f>+I25+J25-K25</f>
        <v>308</v>
      </c>
      <c r="M25" s="30" t="s">
        <v>75</v>
      </c>
      <c r="N25" s="30" t="s">
        <v>18</v>
      </c>
      <c r="U25" s="57"/>
      <c r="V25" s="57"/>
      <c r="W25" s="57"/>
      <c r="X25" s="57"/>
    </row>
    <row r="26" spans="2:544" ht="21.6" customHeight="1">
      <c r="B26" s="60">
        <v>45883</v>
      </c>
      <c r="C26" s="280" t="s">
        <v>365</v>
      </c>
      <c r="D26" s="59">
        <v>0</v>
      </c>
      <c r="E26" s="30" t="s">
        <v>8</v>
      </c>
      <c r="F26" s="30" t="s">
        <v>200</v>
      </c>
      <c r="H26" s="30">
        <v>1</v>
      </c>
      <c r="I26" s="32">
        <v>42</v>
      </c>
      <c r="J26" s="32">
        <v>0</v>
      </c>
      <c r="K26" s="32">
        <v>0</v>
      </c>
      <c r="L26" s="32">
        <f>+I26+J26-K26</f>
        <v>42</v>
      </c>
      <c r="M26" s="30" t="s">
        <v>75</v>
      </c>
      <c r="N26" s="30" t="s">
        <v>18</v>
      </c>
      <c r="U26" s="57"/>
      <c r="V26" s="57"/>
      <c r="W26" s="57"/>
      <c r="X26" s="57"/>
    </row>
    <row r="27" spans="2:544" ht="21.6" customHeight="1">
      <c r="B27" s="60">
        <v>45883</v>
      </c>
      <c r="C27" s="280" t="s">
        <v>368</v>
      </c>
      <c r="D27" s="59">
        <v>0</v>
      </c>
      <c r="E27" s="30" t="s">
        <v>8</v>
      </c>
      <c r="F27" s="30" t="s">
        <v>201</v>
      </c>
      <c r="H27" s="30">
        <v>1</v>
      </c>
      <c r="I27" s="32">
        <v>400</v>
      </c>
      <c r="J27" s="32">
        <v>0</v>
      </c>
      <c r="K27" s="32">
        <v>0</v>
      </c>
      <c r="L27" s="32">
        <f>+I27+J27-K27</f>
        <v>400</v>
      </c>
      <c r="M27" s="30" t="s">
        <v>75</v>
      </c>
      <c r="N27" s="30" t="s">
        <v>18</v>
      </c>
      <c r="U27" s="57"/>
      <c r="V27" s="57"/>
      <c r="W27" s="57"/>
      <c r="X27" s="57"/>
    </row>
    <row r="28" spans="2:544" ht="21.6" customHeight="1">
      <c r="B28" s="60">
        <v>45884</v>
      </c>
      <c r="C28" s="280" t="s">
        <v>369</v>
      </c>
      <c r="D28" s="59">
        <v>0</v>
      </c>
      <c r="E28" s="30" t="s">
        <v>8</v>
      </c>
      <c r="F28" s="30" t="s">
        <v>201</v>
      </c>
      <c r="H28" s="30">
        <v>1</v>
      </c>
      <c r="I28" s="32">
        <v>308</v>
      </c>
      <c r="J28" s="32">
        <v>0</v>
      </c>
      <c r="K28" s="32">
        <v>0</v>
      </c>
      <c r="L28" s="32">
        <f>+I28+J28-K28</f>
        <v>308</v>
      </c>
      <c r="M28" s="30" t="s">
        <v>75</v>
      </c>
      <c r="N28" s="30" t="s">
        <v>18</v>
      </c>
      <c r="U28" s="57"/>
      <c r="V28" s="57"/>
      <c r="W28" s="57"/>
      <c r="X28" s="57"/>
    </row>
    <row r="29" spans="2:544" ht="21.6" customHeight="1">
      <c r="B29" s="60">
        <v>45885</v>
      </c>
      <c r="C29" s="280" t="s">
        <v>370</v>
      </c>
      <c r="D29" s="59">
        <v>293713545</v>
      </c>
      <c r="E29" s="30" t="s">
        <v>8</v>
      </c>
      <c r="F29" s="30" t="s">
        <v>199</v>
      </c>
      <c r="G29" s="30">
        <v>121</v>
      </c>
      <c r="H29" s="30">
        <v>1</v>
      </c>
      <c r="I29" s="32">
        <v>75</v>
      </c>
      <c r="J29" s="32">
        <v>0</v>
      </c>
      <c r="K29" s="32">
        <v>0</v>
      </c>
      <c r="L29" s="32">
        <f>+I29+J29-K29</f>
        <v>75</v>
      </c>
      <c r="M29" s="30" t="s">
        <v>75</v>
      </c>
      <c r="N29" s="30" t="s">
        <v>18</v>
      </c>
      <c r="U29" s="57"/>
      <c r="V29" s="57"/>
      <c r="W29" s="57"/>
      <c r="X29" s="57"/>
    </row>
    <row r="30" spans="2:544" ht="21.6" customHeight="1">
      <c r="B30" s="60">
        <v>45889</v>
      </c>
      <c r="C30" s="280" t="s">
        <v>371</v>
      </c>
      <c r="D30" s="59">
        <v>199956677</v>
      </c>
      <c r="E30" s="30" t="s">
        <v>8</v>
      </c>
      <c r="F30" s="30" t="s">
        <v>200</v>
      </c>
      <c r="G30" s="30">
        <v>122</v>
      </c>
      <c r="H30" s="30">
        <v>2</v>
      </c>
      <c r="I30" s="32">
        <v>110</v>
      </c>
      <c r="J30" s="32">
        <v>0</v>
      </c>
      <c r="K30" s="32">
        <v>0</v>
      </c>
      <c r="L30" s="32">
        <f>+I30+J30-K30</f>
        <v>110</v>
      </c>
      <c r="M30" s="30" t="s">
        <v>75</v>
      </c>
      <c r="N30" s="30" t="s">
        <v>20</v>
      </c>
      <c r="U30" s="57"/>
      <c r="V30" s="57"/>
      <c r="W30" s="57"/>
      <c r="X30" s="57"/>
    </row>
    <row r="31" spans="2:544" ht="21.6" customHeight="1">
      <c r="B31" s="60">
        <v>45889</v>
      </c>
      <c r="J31" s="32">
        <f>Fat_Ago[[#This Row],[Base]]*0.23</f>
        <v>0</v>
      </c>
      <c r="L31" s="32">
        <f>+I31+J31-K31</f>
        <v>0</v>
      </c>
      <c r="U31" s="57"/>
      <c r="V31" s="57"/>
      <c r="W31" s="57"/>
      <c r="X31" s="57"/>
    </row>
    <row r="32" spans="2:544" ht="21.6" customHeight="1">
      <c r="U32" s="57"/>
      <c r="V32" s="57"/>
      <c r="W32" s="57"/>
      <c r="X32" s="57"/>
    </row>
    <row r="33" spans="21:24" ht="21.6" customHeight="1">
      <c r="U33" s="57"/>
      <c r="V33" s="57"/>
      <c r="W33" s="57"/>
      <c r="X33" s="57"/>
    </row>
    <row r="34" spans="21:24" ht="21.6" customHeight="1">
      <c r="U34" s="57"/>
      <c r="V34" s="57"/>
      <c r="W34" s="57"/>
      <c r="X34" s="57"/>
    </row>
    <row r="35" spans="21:24" ht="21.6" customHeight="1">
      <c r="U35" s="57"/>
      <c r="V35" s="57"/>
      <c r="W35" s="57"/>
      <c r="X35" s="57"/>
    </row>
    <row r="36" spans="21:24" ht="21.6" customHeight="1">
      <c r="U36" s="57"/>
      <c r="V36" s="57"/>
      <c r="W36" s="57"/>
      <c r="X36" s="57"/>
    </row>
    <row r="37" spans="21:24" ht="21.6" customHeight="1">
      <c r="U37" s="57"/>
      <c r="V37" s="57"/>
      <c r="W37" s="57"/>
      <c r="X37" s="57"/>
    </row>
    <row r="38" spans="21:24" ht="21.6" customHeight="1">
      <c r="U38" s="57"/>
      <c r="V38" s="57"/>
      <c r="W38" s="57"/>
      <c r="X38" s="57"/>
    </row>
    <row r="39" spans="21:24" ht="21.6" customHeight="1">
      <c r="U39" s="57"/>
      <c r="V39" s="57"/>
      <c r="W39" s="57"/>
      <c r="X39" s="57"/>
    </row>
    <row r="40" spans="21:24" ht="21.6" customHeight="1">
      <c r="U40" s="57"/>
      <c r="V40" s="57"/>
      <c r="W40" s="57"/>
      <c r="X40" s="57"/>
    </row>
    <row r="41" spans="21:24" ht="21.6" customHeight="1">
      <c r="U41" s="57"/>
      <c r="V41" s="57"/>
      <c r="W41" s="57"/>
      <c r="X41" s="57"/>
    </row>
    <row r="42" spans="21:24" ht="21.6" customHeight="1">
      <c r="U42" s="57"/>
      <c r="V42" s="57"/>
      <c r="W42" s="57"/>
      <c r="X42" s="57"/>
    </row>
    <row r="43" spans="21:24" ht="21.6" customHeight="1">
      <c r="U43" s="57"/>
      <c r="V43" s="57"/>
      <c r="W43" s="57"/>
      <c r="X43" s="57"/>
    </row>
    <row r="44" spans="21:24" ht="21.6" customHeight="1">
      <c r="U44" s="57"/>
      <c r="V44" s="57"/>
      <c r="W44" s="57"/>
      <c r="X44" s="57"/>
    </row>
    <row r="45" spans="21:24" ht="21.6" customHeight="1">
      <c r="U45" s="57"/>
      <c r="V45" s="57"/>
      <c r="W45" s="57"/>
      <c r="X45" s="57"/>
    </row>
    <row r="46" spans="21:24" ht="21.6" customHeight="1">
      <c r="U46" s="57"/>
      <c r="V46" s="57"/>
      <c r="W46" s="57"/>
      <c r="X46" s="57"/>
    </row>
    <row r="47" spans="21:24" ht="21.6" customHeight="1">
      <c r="U47" s="57"/>
      <c r="V47" s="57"/>
      <c r="W47" s="57"/>
      <c r="X47" s="57"/>
    </row>
    <row r="48" spans="21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</sheetData>
  <mergeCells count="22">
    <mergeCell ref="G10:H10"/>
    <mergeCell ref="O7:P7"/>
    <mergeCell ref="U7:V7"/>
    <mergeCell ref="C8:D8"/>
    <mergeCell ref="G8:H8"/>
    <mergeCell ref="C9:D9"/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</mergeCells>
  <conditionalFormatting sqref="B4:C5 C6:C10 B7:B10">
    <cfRule type="expression" dxfId="67" priority="5">
      <formula>$B4="Resultado Líquido"</formula>
    </cfRule>
    <cfRule type="expression" dxfId="66" priority="6">
      <formula>OR($B4="Faturação",$B4="Despesas")</formula>
    </cfRule>
  </conditionalFormatting>
  <conditionalFormatting sqref="B11:C12">
    <cfRule type="expression" dxfId="65" priority="7">
      <formula>$B11="Resultado Líquido"</formula>
    </cfRule>
    <cfRule type="expression" dxfId="64" priority="8">
      <formula>OR($B11="Faturação",$B11="Despesas")</formula>
    </cfRule>
  </conditionalFormatting>
  <conditionalFormatting sqref="B23:M23 B28:M29 B24 E24:M24 B25:J25 L25:M25 B26 D26:M26 L27:M27 B27:J27 B31:M1048576 B30:C30 E30:M30">
    <cfRule type="expression" dxfId="63" priority="14">
      <formula>$B23="Total"</formula>
    </cfRule>
  </conditionalFormatting>
  <conditionalFormatting sqref="G5:G8">
    <cfRule type="expression" dxfId="62" priority="3">
      <formula>$B5="Resultado Líquido"</formula>
    </cfRule>
    <cfRule type="expression" dxfId="61" priority="4">
      <formula>OR($B5="Faturação",$B5="Despesas")</formula>
    </cfRule>
  </conditionalFormatting>
  <conditionalFormatting sqref="G10">
    <cfRule type="expression" dxfId="60" priority="1">
      <formula>$B10="Resultado Líquido"</formula>
    </cfRule>
    <cfRule type="expression" dxfId="59" priority="2">
      <formula>OR($B10="Faturação",$B10="Despesas")</formula>
    </cfRule>
  </conditionalFormatting>
  <conditionalFormatting sqref="O23">
    <cfRule type="expression" dxfId="58" priority="15">
      <formula>#REF!="Total"</formula>
    </cfRule>
  </conditionalFormatting>
  <conditionalFormatting sqref="P15:Y1048576">
    <cfRule type="expression" dxfId="57" priority="13">
      <formula>$P15="Total"</formula>
    </cfRule>
  </conditionalFormatting>
  <dataValidations count="9">
    <dataValidation type="list" allowBlank="1" showInputMessage="1" showErrorMessage="1" sqref="E16:E31" xr:uid="{F690B815-9B32-44C5-8BAF-7F9B05BFA5DB}">
      <formula1>"Produtos,Serviços"</formula1>
    </dataValidation>
    <dataValidation type="list" allowBlank="1" showErrorMessage="1" sqref="M16:M31" xr:uid="{F644EBD4-47CF-497C-B804-96DD87B2F351}">
      <formula1>"Pago,Pendente,Vencido"</formula1>
    </dataValidation>
    <dataValidation type="list" allowBlank="1" showInputMessage="1" showErrorMessage="1" sqref="X16:X22" xr:uid="{7861F7B3-934B-4FC6-97AC-F83FB0DAD92B}">
      <formula1>"Pago,Pendente,Vencido"</formula1>
    </dataValidation>
    <dataValidation type="list" allowBlank="1" showInputMessage="1" showErrorMessage="1" sqref="T16:T22" xr:uid="{43CD6BCA-87A8-4C18-8CFE-BFC76D71ACFC}">
      <formula1>Filtro_Desp</formula1>
    </dataValidation>
    <dataValidation type="whole" allowBlank="1" showInputMessage="1" showErrorMessage="1" sqref="R16:R22 D16:D31" xr:uid="{4E4637C6-33F2-4D16-A184-71B301AA714D}">
      <formula1>0</formula1>
      <formula2>999999999</formula2>
    </dataValidation>
    <dataValidation type="date" allowBlank="1" showInputMessage="1" showErrorMessage="1" sqref="P16:P22 B16:B31" xr:uid="{E6BF6FED-270F-456E-B446-6FB1DF69F78D}">
      <formula1>43831</formula1>
      <formula2>73050</formula2>
    </dataValidation>
    <dataValidation type="list" allowBlank="1" showErrorMessage="1" sqref="N16:N31" xr:uid="{304C405F-BABA-4B0A-B7A8-8AF6AD0BF395}">
      <formula1>Filtro_Pag</formula1>
    </dataValidation>
    <dataValidation type="list" allowBlank="1" showInputMessage="1" showErrorMessage="1" sqref="Y16:Y22" xr:uid="{DCEABAF4-85E5-495A-839B-C0009B1FB33A}">
      <formula1>Filtro_Pag</formula1>
    </dataValidation>
    <dataValidation type="list" allowBlank="1" showInputMessage="1" showErrorMessage="1" sqref="F16:F31" xr:uid="{4421543D-5008-495E-B7F1-FF1FB7E3B5D4}">
      <formula1>INDIRECT($E16)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BC44-9706-4875-89C0-35C47DD9CE2B}">
  <sheetPr codeName="Folha13"/>
  <dimension ref="A1:TX989"/>
  <sheetViews>
    <sheetView showGridLines="0" topLeftCell="A9" zoomScaleNormal="100" workbookViewId="0">
      <selection activeCell="T22" sqref="T22:T23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13.8867187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3.88671875" style="30" customWidth="1"/>
    <col min="18" max="18" width="14.6640625" style="59" customWidth="1"/>
    <col min="19" max="19" width="15.44140625" style="30" customWidth="1"/>
    <col min="20" max="20" width="16.3320312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114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115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 t="s" cm="1">
        <v>72</v>
      </c>
      <c r="TS2" s="127" t="s" cm="1">
        <v>12</v>
      </c>
      <c r="TT2" s="127" cm="1">
        <v>0</v>
      </c>
      <c r="TU2" s="127"/>
      <c r="TV2" s="127" t="s" cm="1">
        <v>72</v>
      </c>
      <c r="TW2" s="127" t="s">
        <v>12</v>
      </c>
      <c r="TX2" s="127" cm="1">
        <v>0</v>
      </c>
    </row>
    <row r="3" spans="1:544" ht="36.9" customHeight="1">
      <c r="C3" s="233" t="s">
        <v>116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0</v>
      </c>
      <c r="G5" s="235" t="s">
        <v>71</v>
      </c>
      <c r="H5" s="235"/>
      <c r="I5" s="166">
        <f ca="1">SUM(I6:I8)</f>
        <v>0</v>
      </c>
      <c r="J5" s="31"/>
      <c r="K5" s="31"/>
      <c r="L5" s="170" t="s">
        <v>72</v>
      </c>
      <c r="M5" s="171">
        <f>+L14</f>
        <v>0</v>
      </c>
      <c r="N5" s="168" t="s">
        <v>73</v>
      </c>
      <c r="O5" s="231">
        <f ca="1">+SUMIF(M16:M2599,"Pago",L16:L2499)</f>
        <v>0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0</v>
      </c>
      <c r="F6" s="30"/>
      <c r="G6" s="234" t="s">
        <v>6</v>
      </c>
      <c r="H6" s="234"/>
      <c r="I6" s="167">
        <f ca="1">+SUMIF(T16:T199994,G6,U16:U4994)</f>
        <v>0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0</v>
      </c>
      <c r="F7" s="30"/>
      <c r="G7" s="234" t="s">
        <v>5</v>
      </c>
      <c r="H7" s="234"/>
      <c r="I7" s="167">
        <f ca="1">+SUMIF(T16:T199994,G7,U16:U4994)</f>
        <v>0</v>
      </c>
      <c r="J7" s="32"/>
      <c r="K7" s="32"/>
      <c r="L7" s="170" t="s">
        <v>4</v>
      </c>
      <c r="M7" s="171">
        <f>+W14</f>
        <v>0</v>
      </c>
      <c r="N7" s="168" t="s">
        <v>75</v>
      </c>
      <c r="O7" s="231">
        <f ca="1">+SUMIF(X16:X2599,"Pago",W16:W2499)</f>
        <v>0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0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0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+SUM(Fat_Set[Base])</f>
        <v>0</v>
      </c>
      <c r="J14" s="52">
        <f>+SUM(Fat_Set[[IVA ]])</f>
        <v>0</v>
      </c>
      <c r="K14" s="52">
        <f>+SUM(Fat_Set[Retenção])</f>
        <v>0</v>
      </c>
      <c r="L14" s="52">
        <f>+SUM(Fat_Set[Total])</f>
        <v>0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+SUM(Desp_Set[Base])</f>
        <v>0</v>
      </c>
      <c r="V14" s="52">
        <f>SUM(Desp_Set[[IVA ]])</f>
        <v>0</v>
      </c>
      <c r="W14" s="52">
        <f>SUM(Desp_Set[Total])</f>
        <v>0</v>
      </c>
      <c r="X14"/>
      <c r="Y14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J16" s="32">
        <f>Fat_Set[[#This Row],[Base]]*0.23</f>
        <v>0</v>
      </c>
      <c r="K16" s="32">
        <f>Fat_Set[[#This Row],[Base]]*0.23</f>
        <v>0</v>
      </c>
      <c r="L16" s="32">
        <f>+I16+J16-K16</f>
        <v>0</v>
      </c>
      <c r="O16" s="29"/>
      <c r="Q16" s="138"/>
      <c r="V16" s="32">
        <f>+Desp_Set[[#This Row],[Base]]*0.23</f>
        <v>0</v>
      </c>
      <c r="W16" s="32">
        <f>+Desp_Set[[#This Row],[Base]]+Desp_Set[[#This Row],[IVA ]]</f>
        <v>0</v>
      </c>
      <c r="Y16" s="138"/>
      <c r="TR16" s="127"/>
      <c r="TS16" s="127"/>
      <c r="TT16" s="127"/>
      <c r="TU16" s="127"/>
      <c r="TV16" s="127"/>
      <c r="TW16" s="127"/>
      <c r="TX16" s="127"/>
    </row>
    <row r="17" spans="10:544" ht="21.6" customHeight="1">
      <c r="J17" s="32">
        <f>Fat_Set[[#This Row],[Base]]*0.23</f>
        <v>0</v>
      </c>
      <c r="K17" s="32">
        <f>Fat_Set[[#This Row],[Base]]*0.23</f>
        <v>0</v>
      </c>
      <c r="L17" s="32">
        <f t="shared" ref="L17:L18" si="0">+I17+J17-K17</f>
        <v>0</v>
      </c>
      <c r="O17" s="29"/>
      <c r="Q17" s="138"/>
      <c r="V17" s="32">
        <f>+Desp_Set[[#This Row],[Base]]*0.23</f>
        <v>0</v>
      </c>
      <c r="W17" s="32">
        <f>+Desp_Set[[#This Row],[Base]]+Desp_Set[[#This Row],[IVA ]]</f>
        <v>0</v>
      </c>
      <c r="Y17" s="138"/>
      <c r="TR17" s="127"/>
      <c r="TS17" s="127"/>
      <c r="TT17" s="127"/>
      <c r="TU17" s="127"/>
      <c r="TV17" s="127"/>
      <c r="TW17" s="127"/>
      <c r="TX17" s="127"/>
    </row>
    <row r="18" spans="10:544" ht="21.6" customHeight="1">
      <c r="J18" s="32">
        <f>Fat_Set[[#This Row],[Base]]*0.23</f>
        <v>0</v>
      </c>
      <c r="K18" s="32">
        <f>Fat_Set[[#This Row],[Base]]*0.23</f>
        <v>0</v>
      </c>
      <c r="L18" s="32">
        <f t="shared" si="0"/>
        <v>0</v>
      </c>
      <c r="O18" s="29"/>
      <c r="Q18" s="138"/>
      <c r="V18" s="32">
        <f>+Desp_Set[[#This Row],[Base]]*0.23</f>
        <v>0</v>
      </c>
      <c r="W18" s="32">
        <f>+Desp_Set[[#This Row],[Base]]+Desp_Set[[#This Row],[IVA ]]</f>
        <v>0</v>
      </c>
      <c r="Y18" s="138"/>
      <c r="TR18" s="127"/>
      <c r="TS18" s="127"/>
      <c r="TT18" s="127"/>
      <c r="TU18" s="127"/>
      <c r="TV18" s="127"/>
      <c r="TW18" s="127"/>
      <c r="TX18" s="127"/>
    </row>
    <row r="19" spans="10:544" ht="21.6" customHeight="1">
      <c r="J19" s="32">
        <f>Fat_Set[[#This Row],[Base]]*0.23</f>
        <v>0</v>
      </c>
      <c r="K19" s="32">
        <f>Fat_Set[[#This Row],[Base]]*0.23</f>
        <v>0</v>
      </c>
      <c r="L19" s="32">
        <f t="shared" ref="L19:L21" si="1">+I19+J19-K19</f>
        <v>0</v>
      </c>
      <c r="O19" s="29"/>
      <c r="V19" s="32">
        <f>+Desp_Set[[#This Row],[Base]]*0.23</f>
        <v>0</v>
      </c>
      <c r="W19" s="32">
        <f>+Desp_Set[[#This Row],[Base]]+Desp_Set[[#This Row],[IVA ]]</f>
        <v>0</v>
      </c>
      <c r="Z19" s="176"/>
      <c r="TR19" s="127"/>
      <c r="TS19" s="127"/>
      <c r="TT19" s="127"/>
      <c r="TU19" s="127"/>
      <c r="TV19" s="127"/>
      <c r="TW19" s="127"/>
      <c r="TX19" s="127"/>
    </row>
    <row r="20" spans="10:544" ht="21.6" customHeight="1">
      <c r="J20" s="32">
        <f>Fat_Set[[#This Row],[Base]]*0.23</f>
        <v>0</v>
      </c>
      <c r="K20" s="32">
        <f>Fat_Set[[#This Row],[Base]]*0.23</f>
        <v>0</v>
      </c>
      <c r="L20" s="32">
        <f t="shared" si="1"/>
        <v>0</v>
      </c>
      <c r="O20" s="29"/>
      <c r="V20" s="32">
        <f>+Desp_Set[[#This Row],[Base]]*0.23</f>
        <v>0</v>
      </c>
      <c r="W20" s="32">
        <f>+Desp_Set[[#This Row],[Base]]+Desp_Set[[#This Row],[IVA ]]</f>
        <v>0</v>
      </c>
    </row>
    <row r="21" spans="10:544" ht="21.6" customHeight="1">
      <c r="J21" s="32">
        <f>Fat_Set[[#This Row],[Base]]*0.23</f>
        <v>0</v>
      </c>
      <c r="K21" s="32">
        <f>Fat_Set[[#This Row],[Base]]*0.23</f>
        <v>0</v>
      </c>
      <c r="L21" s="32">
        <f t="shared" si="1"/>
        <v>0</v>
      </c>
      <c r="O21" s="29"/>
      <c r="V21" s="32">
        <f>+Desp_Set[[#This Row],[Base]]*0.23</f>
        <v>0</v>
      </c>
      <c r="W21" s="32">
        <f>+Desp_Set[[#This Row],[Base]]+Desp_Set[[#This Row],[IVA ]]</f>
        <v>0</v>
      </c>
    </row>
    <row r="22" spans="10:544" ht="21.6" customHeight="1">
      <c r="J22" s="32">
        <f>Fat_Set[[#This Row],[Base]]*0.23</f>
        <v>0</v>
      </c>
      <c r="K22" s="32">
        <f>Fat_Set[[#This Row],[Base]]*0.23</f>
        <v>0</v>
      </c>
      <c r="L22" s="32">
        <f>+I22+J22-K22</f>
        <v>0</v>
      </c>
      <c r="O22" s="29"/>
      <c r="V22" s="32">
        <f>+Desp_Set[[#This Row],[Base]]*0.23</f>
        <v>0</v>
      </c>
      <c r="W22" s="32">
        <f>+Desp_Set[[#This Row],[Base]]+Desp_Set[[#This Row],[IVA ]]</f>
        <v>0</v>
      </c>
    </row>
    <row r="23" spans="10:544" ht="21.6" customHeight="1">
      <c r="O23" s="29"/>
    </row>
    <row r="24" spans="10:544" ht="21.6" customHeight="1">
      <c r="O24" s="29"/>
    </row>
    <row r="25" spans="10:544" ht="21.6" customHeight="1">
      <c r="U25" s="57"/>
      <c r="V25" s="57"/>
      <c r="W25" s="57"/>
      <c r="X25" s="57"/>
    </row>
    <row r="26" spans="10:544" ht="21.6" customHeight="1">
      <c r="U26" s="57"/>
      <c r="V26" s="57"/>
      <c r="W26" s="57"/>
      <c r="X26" s="57"/>
    </row>
    <row r="27" spans="10:544" ht="21.6" customHeight="1">
      <c r="U27" s="57"/>
      <c r="V27" s="57"/>
      <c r="W27" s="57"/>
      <c r="X27" s="57"/>
    </row>
    <row r="28" spans="10:544" ht="21.6" customHeight="1">
      <c r="U28" s="57"/>
      <c r="V28" s="57"/>
      <c r="W28" s="57"/>
      <c r="X28" s="57"/>
    </row>
    <row r="29" spans="10:544" ht="21.6" customHeight="1">
      <c r="U29" s="57"/>
      <c r="V29" s="57"/>
      <c r="W29" s="57"/>
      <c r="X29" s="57"/>
    </row>
    <row r="30" spans="10:544" ht="21.6" customHeight="1">
      <c r="U30" s="57"/>
      <c r="V30" s="57"/>
      <c r="W30" s="57"/>
      <c r="X30" s="57"/>
    </row>
    <row r="31" spans="10:544" ht="21.6" customHeight="1">
      <c r="U31" s="57"/>
      <c r="V31" s="57"/>
      <c r="W31" s="57"/>
      <c r="X31" s="57"/>
    </row>
    <row r="32" spans="10:544" ht="21.6" customHeight="1">
      <c r="U32" s="57"/>
      <c r="V32" s="57"/>
      <c r="W32" s="57"/>
      <c r="X32" s="57"/>
    </row>
    <row r="33" spans="21:24" ht="21.6" customHeight="1">
      <c r="U33" s="57"/>
      <c r="V33" s="57"/>
      <c r="W33" s="57"/>
      <c r="X33" s="57"/>
    </row>
    <row r="34" spans="21:24" ht="21.6" customHeight="1">
      <c r="U34" s="57"/>
      <c r="V34" s="57"/>
      <c r="W34" s="57"/>
      <c r="X34" s="57"/>
    </row>
    <row r="35" spans="21:24" ht="21.6" customHeight="1">
      <c r="U35" s="57"/>
      <c r="V35" s="57"/>
      <c r="W35" s="57"/>
      <c r="X35" s="57"/>
    </row>
    <row r="36" spans="21:24" ht="21.6" customHeight="1">
      <c r="U36" s="57"/>
      <c r="V36" s="57"/>
      <c r="W36" s="57"/>
      <c r="X36" s="57"/>
    </row>
    <row r="37" spans="21:24" ht="21.6" customHeight="1">
      <c r="U37" s="57"/>
      <c r="V37" s="57"/>
      <c r="W37" s="57"/>
      <c r="X37" s="57"/>
    </row>
    <row r="38" spans="21:24" ht="21.6" customHeight="1">
      <c r="U38" s="57"/>
      <c r="V38" s="57"/>
      <c r="W38" s="57"/>
      <c r="X38" s="57"/>
    </row>
    <row r="39" spans="21:24" ht="21.6" customHeight="1">
      <c r="U39" s="57"/>
      <c r="V39" s="57"/>
      <c r="W39" s="57"/>
      <c r="X39" s="57"/>
    </row>
    <row r="40" spans="21:24" ht="21.6" customHeight="1">
      <c r="U40" s="57"/>
      <c r="V40" s="57"/>
      <c r="W40" s="57"/>
      <c r="X40" s="57"/>
    </row>
    <row r="41" spans="21:24" ht="21.6" customHeight="1">
      <c r="U41" s="57"/>
      <c r="V41" s="57"/>
      <c r="W41" s="57"/>
      <c r="X41" s="57"/>
    </row>
    <row r="42" spans="21:24" ht="21.6" customHeight="1">
      <c r="U42" s="57"/>
      <c r="V42" s="57"/>
      <c r="W42" s="57"/>
      <c r="X42" s="57"/>
    </row>
    <row r="43" spans="21:24" ht="21.6" customHeight="1">
      <c r="U43" s="57"/>
      <c r="V43" s="57"/>
      <c r="W43" s="57"/>
      <c r="X43" s="57"/>
    </row>
    <row r="44" spans="21:24" ht="21.6" customHeight="1">
      <c r="U44" s="57"/>
      <c r="V44" s="57"/>
      <c r="W44" s="57"/>
      <c r="X44" s="57"/>
    </row>
    <row r="45" spans="21:24" ht="21.6" customHeight="1">
      <c r="U45" s="57"/>
      <c r="V45" s="57"/>
      <c r="W45" s="57"/>
      <c r="X45" s="57"/>
    </row>
    <row r="46" spans="21:24" ht="21.6" customHeight="1">
      <c r="U46" s="57"/>
      <c r="V46" s="57"/>
      <c r="W46" s="57"/>
      <c r="X46" s="57"/>
    </row>
    <row r="47" spans="21:24" ht="21.6" customHeight="1">
      <c r="U47" s="57"/>
      <c r="V47" s="57"/>
      <c r="W47" s="57"/>
      <c r="X47" s="57"/>
    </row>
    <row r="48" spans="21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</sheetData>
  <mergeCells count="22">
    <mergeCell ref="G10:H10"/>
    <mergeCell ref="O7:P7"/>
    <mergeCell ref="U7:V7"/>
    <mergeCell ref="C8:D8"/>
    <mergeCell ref="G8:H8"/>
    <mergeCell ref="C9:D9"/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</mergeCells>
  <conditionalFormatting sqref="B4:C5 C6:C10 B7:B10">
    <cfRule type="expression" dxfId="56" priority="5">
      <formula>$B4="Resultado Líquido"</formula>
    </cfRule>
    <cfRule type="expression" dxfId="55" priority="6">
      <formula>OR($B4="Faturação",$B4="Despesas")</formula>
    </cfRule>
  </conditionalFormatting>
  <conditionalFormatting sqref="B11:C12">
    <cfRule type="expression" dxfId="54" priority="7">
      <formula>$B11="Resultado Líquido"</formula>
    </cfRule>
    <cfRule type="expression" dxfId="53" priority="8">
      <formula>OR($B11="Faturação",$B11="Despesas")</formula>
    </cfRule>
  </conditionalFormatting>
  <conditionalFormatting sqref="B23:M1048576">
    <cfRule type="expression" dxfId="52" priority="14">
      <formula>$B23="Total"</formula>
    </cfRule>
  </conditionalFormatting>
  <conditionalFormatting sqref="G5:G8">
    <cfRule type="expression" dxfId="51" priority="3">
      <formula>$B5="Resultado Líquido"</formula>
    </cfRule>
    <cfRule type="expression" dxfId="50" priority="4">
      <formula>OR($B5="Faturação",$B5="Despesas")</formula>
    </cfRule>
  </conditionalFormatting>
  <conditionalFormatting sqref="G10">
    <cfRule type="expression" dxfId="49" priority="1">
      <formula>$B10="Resultado Líquido"</formula>
    </cfRule>
    <cfRule type="expression" dxfId="48" priority="2">
      <formula>OR($B10="Faturação",$B10="Despesas")</formula>
    </cfRule>
  </conditionalFormatting>
  <conditionalFormatting sqref="O23:O24">
    <cfRule type="expression" dxfId="47" priority="15">
      <formula>#REF!="Total"</formula>
    </cfRule>
  </conditionalFormatting>
  <conditionalFormatting sqref="P15:Y1048576">
    <cfRule type="expression" dxfId="46" priority="13">
      <formula>$P15="Total"</formula>
    </cfRule>
  </conditionalFormatting>
  <dataValidations count="9">
    <dataValidation type="list" allowBlank="1" showInputMessage="1" showErrorMessage="1" sqref="T16:T22" xr:uid="{7DFFC375-1CEA-48F8-8FC0-6C213415D32E}">
      <formula1>Filtro_Desp</formula1>
    </dataValidation>
    <dataValidation type="list" allowBlank="1" showInputMessage="1" showErrorMessage="1" sqref="X16:X22" xr:uid="{7E42E9E2-560E-457C-A0D4-6C5F197DAFBA}">
      <formula1>"Pago,Pendente,Vencido"</formula1>
    </dataValidation>
    <dataValidation type="list" allowBlank="1" showErrorMessage="1" sqref="M16:M22" xr:uid="{56ECC633-6ACC-4638-A234-AE3DEAEADFC6}">
      <formula1>"Pago,Pendente,Vencido"</formula1>
    </dataValidation>
    <dataValidation type="list" allowBlank="1" showInputMessage="1" showErrorMessage="1" sqref="E16:E22" xr:uid="{C2A32C0B-E157-4D8B-A541-2398BD5344B8}">
      <formula1>"Produtos,Serviços"</formula1>
    </dataValidation>
    <dataValidation type="whole" allowBlank="1" showInputMessage="1" showErrorMessage="1" sqref="R16:R22 D16:D22" xr:uid="{3777C12B-62C3-4703-A31E-4991A6C77452}">
      <formula1>0</formula1>
      <formula2>999999999</formula2>
    </dataValidation>
    <dataValidation type="date" allowBlank="1" showInputMessage="1" showErrorMessage="1" sqref="P16:P1048576 B16:B22" xr:uid="{8291F857-2382-495B-A733-563A8D409170}">
      <formula1>43831</formula1>
      <formula2>73050</formula2>
    </dataValidation>
    <dataValidation type="list" allowBlank="1" showErrorMessage="1" sqref="N16:N22" xr:uid="{7068A6C6-203A-4849-8DBE-4E9A6070BE9D}">
      <formula1>Filtro_Pag</formula1>
    </dataValidation>
    <dataValidation type="list" allowBlank="1" showInputMessage="1" showErrorMessage="1" sqref="Y16:Y22" xr:uid="{7B1E55EA-AF6D-45EF-AA6A-C23B3EC91807}">
      <formula1>Filtro_Pag</formula1>
    </dataValidation>
    <dataValidation type="list" allowBlank="1" showInputMessage="1" showErrorMessage="1" sqref="F16:F22" xr:uid="{B524AE70-C3EC-44D4-B580-D8E9921ED9FF}">
      <formula1>INDIRECT($E16)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EF87-94C3-4083-9A5F-D2864F485CE0}">
  <sheetPr codeName="Folha14"/>
  <dimension ref="A1:TX989"/>
  <sheetViews>
    <sheetView showGridLines="0" topLeftCell="A2" zoomScale="60" zoomScaleNormal="60" workbookViewId="0">
      <selection activeCell="X16" sqref="X16:Y18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13.8867187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3.88671875" style="30" customWidth="1"/>
    <col min="18" max="18" width="14.6640625" style="59" customWidth="1"/>
    <col min="19" max="19" width="15.44140625" style="30" customWidth="1"/>
    <col min="20" max="20" width="16.3320312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117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118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 t="s" cm="1">
        <v>72</v>
      </c>
      <c r="TS2" s="127" t="s" cm="1">
        <v>12</v>
      </c>
      <c r="TT2" s="127" cm="1">
        <v>1050</v>
      </c>
      <c r="TU2" s="127"/>
      <c r="TV2" s="127" t="s" cm="1">
        <v>72</v>
      </c>
      <c r="TW2" s="127" t="s">
        <v>12</v>
      </c>
      <c r="TX2" s="127" cm="1">
        <v>1050</v>
      </c>
    </row>
    <row r="3" spans="1:544" ht="36.9" customHeight="1">
      <c r="C3" s="233" t="s">
        <v>119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0</v>
      </c>
      <c r="G5" s="235" t="s">
        <v>71</v>
      </c>
      <c r="H5" s="235"/>
      <c r="I5" s="166">
        <f ca="1">SUM(I6:I8)</f>
        <v>0</v>
      </c>
      <c r="J5" s="31"/>
      <c r="K5" s="31"/>
      <c r="L5" s="170" t="s">
        <v>72</v>
      </c>
      <c r="M5" s="171">
        <f>+L14</f>
        <v>0</v>
      </c>
      <c r="N5" s="168" t="s">
        <v>73</v>
      </c>
      <c r="O5" s="231">
        <f ca="1">+SUMIF(M16:M2599,"Pago",L16:L2499)</f>
        <v>0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0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0</v>
      </c>
      <c r="F6" s="30"/>
      <c r="G6" s="234" t="s">
        <v>6</v>
      </c>
      <c r="H6" s="234"/>
      <c r="I6" s="167">
        <f ca="1">+SUMIF(T16:T199994,G6,U16:U4994)</f>
        <v>0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0</v>
      </c>
      <c r="F7" s="30"/>
      <c r="G7" s="234" t="s">
        <v>5</v>
      </c>
      <c r="H7" s="234"/>
      <c r="I7" s="167">
        <f ca="1">+SUMIF(T16:T199994,G7,U16:U4994)</f>
        <v>0</v>
      </c>
      <c r="J7" s="32"/>
      <c r="K7" s="32"/>
      <c r="L7" s="170" t="s">
        <v>4</v>
      </c>
      <c r="M7" s="171">
        <f>+W14</f>
        <v>0</v>
      </c>
      <c r="N7" s="168" t="s">
        <v>75</v>
      </c>
      <c r="O7" s="231">
        <f ca="1">+SUMIF(X16:X2599,"Pago",W16:W2499)</f>
        <v>0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0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0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+SUM(Fat_Out[Base])</f>
        <v>0</v>
      </c>
      <c r="J14" s="52">
        <f>+SUM(Fat_Out[[IVA ]])</f>
        <v>0</v>
      </c>
      <c r="K14" s="52">
        <f>+SUM(Fat_Out[Retenção])</f>
        <v>0</v>
      </c>
      <c r="L14" s="52">
        <f>+SUM(Fat_Out[Total])</f>
        <v>0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+SUM(Desp_Out[Base])</f>
        <v>0</v>
      </c>
      <c r="V14" s="52">
        <f>SUM(Desp_Out[[IVA ]])</f>
        <v>0</v>
      </c>
      <c r="W14" s="52">
        <f>SUM(Desp_Out[Total])</f>
        <v>0</v>
      </c>
      <c r="X14" s="133"/>
      <c r="Y14" s="133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J16" s="32">
        <f>Fat_Out[[#This Row],[Base]]*0.23</f>
        <v>0</v>
      </c>
      <c r="K16" s="32">
        <f>Fat_Out[[#This Row],[Base]]*0.23</f>
        <v>0</v>
      </c>
      <c r="L16" s="32">
        <f>+I16+J16-K16</f>
        <v>0</v>
      </c>
      <c r="O16" s="29"/>
      <c r="Q16" s="138"/>
      <c r="V16" s="32">
        <f>+Desp_Out[[#This Row],[Base]]*0.23</f>
        <v>0</v>
      </c>
      <c r="W16" s="32">
        <f>+Desp_Out[[#This Row],[Base]]+Desp_Out[[#This Row],[IVA ]]</f>
        <v>0</v>
      </c>
      <c r="Y16" s="138"/>
      <c r="TR16" s="127"/>
      <c r="TS16" s="127"/>
      <c r="TT16" s="127"/>
      <c r="TU16" s="127"/>
      <c r="TV16" s="127"/>
      <c r="TW16" s="127"/>
      <c r="TX16" s="127"/>
    </row>
    <row r="17" spans="10:544" ht="21.6" customHeight="1">
      <c r="J17" s="32">
        <f>Fat_Out[[#This Row],[Base]]*0.23</f>
        <v>0</v>
      </c>
      <c r="K17" s="32">
        <f>Fat_Out[[#This Row],[Base]]*0.23</f>
        <v>0</v>
      </c>
      <c r="L17" s="32">
        <f t="shared" ref="L17:L18" si="0">+I17+J17-K17</f>
        <v>0</v>
      </c>
      <c r="O17" s="29"/>
      <c r="Q17" s="138"/>
      <c r="V17" s="32">
        <f>+Desp_Out[[#This Row],[Base]]*0.23</f>
        <v>0</v>
      </c>
      <c r="W17" s="32">
        <f>+Desp_Out[[#This Row],[Base]]+Desp_Out[[#This Row],[IVA ]]</f>
        <v>0</v>
      </c>
      <c r="Y17" s="138"/>
      <c r="TR17" s="127"/>
      <c r="TS17" s="127"/>
      <c r="TT17" s="127"/>
      <c r="TU17" s="127"/>
      <c r="TV17" s="127"/>
      <c r="TW17" s="127"/>
      <c r="TX17" s="127"/>
    </row>
    <row r="18" spans="10:544" ht="21.6" customHeight="1">
      <c r="J18" s="32">
        <f>Fat_Out[[#This Row],[Base]]*0.23</f>
        <v>0</v>
      </c>
      <c r="K18" s="32">
        <f>Fat_Out[[#This Row],[Base]]*0.23</f>
        <v>0</v>
      </c>
      <c r="L18" s="32">
        <f t="shared" si="0"/>
        <v>0</v>
      </c>
      <c r="O18" s="29"/>
      <c r="Q18" s="138"/>
      <c r="V18" s="32">
        <f>+Desp_Out[[#This Row],[Base]]*0.23</f>
        <v>0</v>
      </c>
      <c r="W18" s="32">
        <f>+Desp_Out[[#This Row],[Base]]+Desp_Out[[#This Row],[IVA ]]</f>
        <v>0</v>
      </c>
      <c r="Y18" s="138"/>
      <c r="TR18" s="127"/>
      <c r="TS18" s="127"/>
      <c r="TT18" s="127"/>
      <c r="TU18" s="127"/>
      <c r="TV18" s="127"/>
      <c r="TW18" s="127"/>
      <c r="TX18" s="127"/>
    </row>
    <row r="19" spans="10:544" ht="21.6" customHeight="1">
      <c r="J19" s="32">
        <f>Fat_Out[[#This Row],[Base]]*0.23</f>
        <v>0</v>
      </c>
      <c r="K19" s="32">
        <f>Fat_Out[[#This Row],[Base]]*0.23</f>
        <v>0</v>
      </c>
      <c r="L19" s="32">
        <f>+I19+J19-K19</f>
        <v>0</v>
      </c>
      <c r="O19" s="29"/>
      <c r="V19" s="32">
        <f>+Desp_Out[[#This Row],[Base]]*0.23</f>
        <v>0</v>
      </c>
      <c r="W19" s="32">
        <f>+Desp_Out[[#This Row],[Base]]+Desp_Out[[#This Row],[IVA ]]</f>
        <v>0</v>
      </c>
      <c r="Z19" s="176"/>
      <c r="TR19" s="127"/>
      <c r="TS19" s="127"/>
      <c r="TT19" s="127"/>
      <c r="TU19" s="127"/>
      <c r="TV19" s="127"/>
      <c r="TW19" s="127"/>
      <c r="TX19" s="127"/>
    </row>
    <row r="20" spans="10:544" ht="21.6" customHeight="1">
      <c r="J20" s="32">
        <f>Fat_Out[[#This Row],[Base]]*0.23</f>
        <v>0</v>
      </c>
      <c r="K20" s="32">
        <f>Fat_Out[[#This Row],[Base]]*0.23</f>
        <v>0</v>
      </c>
      <c r="L20" s="32">
        <f>+I20+J20-K20</f>
        <v>0</v>
      </c>
      <c r="O20" s="29"/>
      <c r="V20" s="32">
        <f>+Desp_Out[[#This Row],[Base]]*0.23</f>
        <v>0</v>
      </c>
      <c r="W20" s="32">
        <f>+Desp_Out[[#This Row],[Base]]+Desp_Out[[#This Row],[IVA ]]</f>
        <v>0</v>
      </c>
    </row>
    <row r="21" spans="10:544" ht="21.6" customHeight="1">
      <c r="J21" s="32">
        <f>Fat_Out[[#This Row],[Base]]*0.23</f>
        <v>0</v>
      </c>
      <c r="K21" s="32">
        <f>Fat_Out[[#This Row],[Base]]*0.23</f>
        <v>0</v>
      </c>
      <c r="L21" s="32">
        <f>+I21+J21-K21</f>
        <v>0</v>
      </c>
      <c r="O21" s="29"/>
      <c r="V21" s="32">
        <f>+Desp_Out[[#This Row],[Base]]*0.23</f>
        <v>0</v>
      </c>
      <c r="W21" s="32">
        <f>+Desp_Out[[#This Row],[Base]]+Desp_Out[[#This Row],[IVA ]]</f>
        <v>0</v>
      </c>
    </row>
    <row r="22" spans="10:544" ht="21.6" customHeight="1">
      <c r="J22" s="32">
        <f>Fat_Out[[#This Row],[Base]]*0.23</f>
        <v>0</v>
      </c>
      <c r="K22" s="32">
        <f>Fat_Out[[#This Row],[Base]]*0.23</f>
        <v>0</v>
      </c>
      <c r="L22" s="32">
        <f>+I22+J22-K22</f>
        <v>0</v>
      </c>
      <c r="O22" s="29"/>
      <c r="V22" s="32">
        <f>+Desp_Out[[#This Row],[Base]]*0.23</f>
        <v>0</v>
      </c>
      <c r="W22" s="32">
        <f>+Desp_Out[[#This Row],[Base]]+Desp_Out[[#This Row],[IVA ]]</f>
        <v>0</v>
      </c>
    </row>
    <row r="23" spans="10:544" ht="21.6" customHeight="1">
      <c r="O23" s="29"/>
    </row>
    <row r="24" spans="10:544" ht="21.6" customHeight="1">
      <c r="O24" s="29"/>
    </row>
    <row r="25" spans="10:544" ht="21.6" customHeight="1">
      <c r="U25" s="57"/>
      <c r="V25" s="57"/>
      <c r="W25" s="57"/>
      <c r="X25" s="57"/>
    </row>
    <row r="26" spans="10:544" ht="21.6" customHeight="1">
      <c r="U26" s="57"/>
      <c r="V26" s="57"/>
      <c r="W26" s="57"/>
      <c r="X26" s="57"/>
    </row>
    <row r="27" spans="10:544" ht="21.6" customHeight="1">
      <c r="U27" s="57"/>
      <c r="V27" s="57"/>
      <c r="W27" s="57"/>
      <c r="X27" s="57"/>
    </row>
    <row r="28" spans="10:544" ht="21.6" customHeight="1">
      <c r="U28" s="57"/>
      <c r="V28" s="57"/>
      <c r="W28" s="57"/>
      <c r="X28" s="57"/>
    </row>
    <row r="29" spans="10:544" ht="21.6" customHeight="1">
      <c r="U29" s="57"/>
      <c r="V29" s="57"/>
      <c r="W29" s="57"/>
      <c r="X29" s="57"/>
    </row>
    <row r="30" spans="10:544" ht="21.6" customHeight="1">
      <c r="U30" s="57"/>
      <c r="V30" s="57"/>
      <c r="W30" s="57"/>
      <c r="X30" s="57"/>
    </row>
    <row r="31" spans="10:544" ht="21.6" customHeight="1">
      <c r="U31" s="57"/>
      <c r="V31" s="57"/>
      <c r="W31" s="57"/>
      <c r="X31" s="57"/>
    </row>
    <row r="32" spans="10:544" ht="21.6" customHeight="1">
      <c r="U32" s="57"/>
      <c r="V32" s="57"/>
      <c r="W32" s="57"/>
      <c r="X32" s="57"/>
    </row>
    <row r="33" spans="21:24" ht="21.6" customHeight="1">
      <c r="U33" s="57"/>
      <c r="V33" s="57"/>
      <c r="W33" s="57"/>
      <c r="X33" s="57"/>
    </row>
    <row r="34" spans="21:24" ht="21.6" customHeight="1">
      <c r="U34" s="57"/>
      <c r="V34" s="57"/>
      <c r="W34" s="57"/>
      <c r="X34" s="57"/>
    </row>
    <row r="35" spans="21:24" ht="21.6" customHeight="1">
      <c r="U35" s="57"/>
      <c r="V35" s="57"/>
      <c r="W35" s="57"/>
      <c r="X35" s="57"/>
    </row>
    <row r="36" spans="21:24" ht="21.6" customHeight="1">
      <c r="U36" s="57"/>
      <c r="V36" s="57"/>
      <c r="W36" s="57"/>
      <c r="X36" s="57"/>
    </row>
    <row r="37" spans="21:24" ht="21.6" customHeight="1">
      <c r="U37" s="57"/>
      <c r="V37" s="57"/>
      <c r="W37" s="57"/>
      <c r="X37" s="57"/>
    </row>
    <row r="38" spans="21:24" ht="21.6" customHeight="1">
      <c r="U38" s="57"/>
      <c r="V38" s="57"/>
      <c r="W38" s="57"/>
      <c r="X38" s="57"/>
    </row>
    <row r="39" spans="21:24" ht="21.6" customHeight="1">
      <c r="U39" s="57"/>
      <c r="V39" s="57"/>
      <c r="W39" s="57"/>
      <c r="X39" s="57"/>
    </row>
    <row r="40" spans="21:24" ht="21.6" customHeight="1">
      <c r="U40" s="57"/>
      <c r="V40" s="57"/>
      <c r="W40" s="57"/>
      <c r="X40" s="57"/>
    </row>
    <row r="41" spans="21:24" ht="21.6" customHeight="1">
      <c r="U41" s="57"/>
      <c r="V41" s="57"/>
      <c r="W41" s="57"/>
      <c r="X41" s="57"/>
    </row>
    <row r="42" spans="21:24" ht="21.6" customHeight="1">
      <c r="U42" s="57"/>
      <c r="V42" s="57"/>
      <c r="W42" s="57"/>
      <c r="X42" s="57"/>
    </row>
    <row r="43" spans="21:24" ht="21.6" customHeight="1">
      <c r="U43" s="57"/>
      <c r="V43" s="57"/>
      <c r="W43" s="57"/>
      <c r="X43" s="57"/>
    </row>
    <row r="44" spans="21:24" ht="21.6" customHeight="1">
      <c r="U44" s="57"/>
      <c r="V44" s="57"/>
      <c r="W44" s="57"/>
      <c r="X44" s="57"/>
    </row>
    <row r="45" spans="21:24" ht="21.6" customHeight="1">
      <c r="U45" s="57"/>
      <c r="V45" s="57"/>
      <c r="W45" s="57"/>
      <c r="X45" s="57"/>
    </row>
    <row r="46" spans="21:24" ht="21.6" customHeight="1">
      <c r="U46" s="57"/>
      <c r="V46" s="57"/>
      <c r="W46" s="57"/>
      <c r="X46" s="57"/>
    </row>
    <row r="47" spans="21:24" ht="21.6" customHeight="1">
      <c r="U47" s="57"/>
      <c r="V47" s="57"/>
      <c r="W47" s="57"/>
      <c r="X47" s="57"/>
    </row>
    <row r="48" spans="21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</sheetData>
  <mergeCells count="22">
    <mergeCell ref="G10:H10"/>
    <mergeCell ref="O7:P7"/>
    <mergeCell ref="U7:V7"/>
    <mergeCell ref="C8:D8"/>
    <mergeCell ref="G8:H8"/>
    <mergeCell ref="C9:D9"/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</mergeCells>
  <conditionalFormatting sqref="B4:C5 C6:C10 B7:B10">
    <cfRule type="expression" dxfId="45" priority="5">
      <formula>$B4="Resultado Líquido"</formula>
    </cfRule>
    <cfRule type="expression" dxfId="44" priority="6">
      <formula>OR($B4="Faturação",$B4="Despesas")</formula>
    </cfRule>
  </conditionalFormatting>
  <conditionalFormatting sqref="B11:C12">
    <cfRule type="expression" dxfId="43" priority="7">
      <formula>$B11="Resultado Líquido"</formula>
    </cfRule>
    <cfRule type="expression" dxfId="42" priority="8">
      <formula>OR($B11="Faturação",$B11="Despesas")</formula>
    </cfRule>
  </conditionalFormatting>
  <conditionalFormatting sqref="B23:M1048576">
    <cfRule type="expression" dxfId="41" priority="14">
      <formula>$B23="Total"</formula>
    </cfRule>
  </conditionalFormatting>
  <conditionalFormatting sqref="G5:G8">
    <cfRule type="expression" dxfId="40" priority="3">
      <formula>$B5="Resultado Líquido"</formula>
    </cfRule>
    <cfRule type="expression" dxfId="39" priority="4">
      <formula>OR($B5="Faturação",$B5="Despesas")</formula>
    </cfRule>
  </conditionalFormatting>
  <conditionalFormatting sqref="G10">
    <cfRule type="expression" dxfId="38" priority="1">
      <formula>$B10="Resultado Líquido"</formula>
    </cfRule>
    <cfRule type="expression" dxfId="37" priority="2">
      <formula>OR($B10="Faturação",$B10="Despesas")</formula>
    </cfRule>
  </conditionalFormatting>
  <conditionalFormatting sqref="O23:O24">
    <cfRule type="expression" dxfId="36" priority="15">
      <formula>#REF!="Total"</formula>
    </cfRule>
  </conditionalFormatting>
  <conditionalFormatting sqref="P15:Y1048576">
    <cfRule type="expression" dxfId="35" priority="13">
      <formula>$P15="Total"</formula>
    </cfRule>
  </conditionalFormatting>
  <dataValidations count="9">
    <dataValidation type="list" allowBlank="1" showInputMessage="1" showErrorMessage="1" sqref="E16:E22" xr:uid="{FC11FFA3-9239-438A-94B5-D80E39B69B07}">
      <formula1>"Produtos,Serviços"</formula1>
    </dataValidation>
    <dataValidation type="list" allowBlank="1" showErrorMessage="1" sqref="M16:M22" xr:uid="{8676D085-9AC6-41F5-8867-7E8E6CC0D3B5}">
      <formula1>"Pago,Pendente,Vencido"</formula1>
    </dataValidation>
    <dataValidation type="list" allowBlank="1" showInputMessage="1" showErrorMessage="1" sqref="X16:X22" xr:uid="{659BDB95-9AD5-4B02-8C63-0DC23FDB1469}">
      <formula1>"Pago,Pendente,Vencido"</formula1>
    </dataValidation>
    <dataValidation type="list" allowBlank="1" showInputMessage="1" showErrorMessage="1" sqref="T16:T22" xr:uid="{FEFEAE8A-C99E-4F0B-A680-078E0393A4C2}">
      <formula1>Filtro_Desp</formula1>
    </dataValidation>
    <dataValidation type="whole" allowBlank="1" showInputMessage="1" showErrorMessage="1" sqref="D16:D22 R16:R22" xr:uid="{3938FB96-B390-4FFF-A54D-C82CADC69BEE}">
      <formula1>0</formula1>
      <formula2>999999999</formula2>
    </dataValidation>
    <dataValidation type="date" allowBlank="1" showInputMessage="1" showErrorMessage="1" sqref="B16:B22 P16:P22" xr:uid="{C57B4EB5-EBF6-4209-96F6-0638C6EB6DC4}">
      <formula1>43831</formula1>
      <formula2>73050</formula2>
    </dataValidation>
    <dataValidation type="list" allowBlank="1" showErrorMessage="1" sqref="N16:N22" xr:uid="{EF87F282-1870-4565-B54B-373B0F24CB68}">
      <formula1>Filtro_Pag</formula1>
    </dataValidation>
    <dataValidation type="list" allowBlank="1" showInputMessage="1" showErrorMessage="1" sqref="Y16:Y22" xr:uid="{F7446117-EA0F-4116-A90E-327E5C48969F}">
      <formula1>Filtro_Pag</formula1>
    </dataValidation>
    <dataValidation type="list" allowBlank="1" showInputMessage="1" showErrorMessage="1" sqref="F16:F22" xr:uid="{8AEAB131-7216-4D5D-A971-2249AD654276}">
      <formula1>INDIRECT($E16)</formula1>
    </dataValidation>
  </dataValidations>
  <pageMargins left="0.7" right="0.7" top="0.75" bottom="0.75" header="0" footer="0"/>
  <pageSetup paperSize="9" orientation="portrait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44DB-0A9C-48E3-AE7C-349C2AAF4051}">
  <sheetPr codeName="Folha15"/>
  <dimension ref="A1:TX989"/>
  <sheetViews>
    <sheetView showGridLines="0" topLeftCell="A13" zoomScale="60" zoomScaleNormal="60" workbookViewId="0">
      <selection activeCell="I25" sqref="I25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18.10937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3.88671875" style="30" customWidth="1"/>
    <col min="18" max="18" width="14.6640625" style="59" customWidth="1"/>
    <col min="19" max="19" width="15.44140625" style="30" customWidth="1"/>
    <col min="20" max="20" width="16.3320312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120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121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 t="s" cm="1">
        <v>72</v>
      </c>
      <c r="TS2" s="127" t="s" cm="1">
        <v>12</v>
      </c>
      <c r="TT2" s="127" cm="1">
        <v>170</v>
      </c>
      <c r="TU2" s="127"/>
      <c r="TV2" s="127" t="s" cm="1">
        <v>72</v>
      </c>
      <c r="TW2" s="127" t="s">
        <v>12</v>
      </c>
      <c r="TX2" s="127" cm="1">
        <v>170</v>
      </c>
    </row>
    <row r="3" spans="1:544" ht="36.9" customHeight="1">
      <c r="C3" s="233" t="s">
        <v>122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2248.64</v>
      </c>
      <c r="G5" s="235" t="s">
        <v>71</v>
      </c>
      <c r="H5" s="235"/>
      <c r="I5" s="166">
        <f ca="1">SUM(I6:I8)</f>
        <v>412.6</v>
      </c>
      <c r="J5" s="31"/>
      <c r="K5" s="31"/>
      <c r="L5" s="170" t="s">
        <v>72</v>
      </c>
      <c r="M5" s="171">
        <f>+L14</f>
        <v>2645.0811999999996</v>
      </c>
      <c r="N5" s="168" t="s">
        <v>73</v>
      </c>
      <c r="O5" s="231">
        <f ca="1">+SUMIF(M16:M2599,"Pago",L16:L2499)</f>
        <v>2590.0755999999997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396.44119999999998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536.62</v>
      </c>
      <c r="F6" s="30"/>
      <c r="G6" s="234" t="s">
        <v>6</v>
      </c>
      <c r="H6" s="234"/>
      <c r="I6" s="167">
        <f ca="1">+SUMIF(T16:T199994,G6,U16:U4994)</f>
        <v>0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313.03999999999996</v>
      </c>
      <c r="F7" s="30"/>
      <c r="G7" s="234" t="s">
        <v>5</v>
      </c>
      <c r="H7" s="234"/>
      <c r="I7" s="167">
        <f ca="1">+SUMIF(T16:T199994,G7,U16:U4994)</f>
        <v>412.6</v>
      </c>
      <c r="J7" s="32"/>
      <c r="K7" s="32"/>
      <c r="L7" s="170" t="s">
        <v>4</v>
      </c>
      <c r="M7" s="171">
        <f>+W14</f>
        <v>412.6</v>
      </c>
      <c r="N7" s="168" t="s">
        <v>75</v>
      </c>
      <c r="O7" s="231">
        <f ca="1">+SUMIF(X16:X2599,"Pago",W16:W2499)</f>
        <v>412.6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1398.98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1836.04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+SUM(Fat_Nov[Base])</f>
        <v>2248.6399999999994</v>
      </c>
      <c r="J14" s="52">
        <f>+SUM(Fat_Nov[[IVA ]])</f>
        <v>396.44119999999998</v>
      </c>
      <c r="K14" s="52">
        <f>+SUM(Fat_Nov[Retenção])</f>
        <v>0</v>
      </c>
      <c r="L14" s="52">
        <f>+SUM(Fat_Nov[Total])</f>
        <v>2645.0811999999996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+SUM(Desp_Nov[Base])</f>
        <v>412.6</v>
      </c>
      <c r="V14" s="52">
        <f>SUM(Desp_Nov[[IVA ]])</f>
        <v>0</v>
      </c>
      <c r="W14" s="52">
        <f>SUM(Desp_Nov[Total])</f>
        <v>412.6</v>
      </c>
      <c r="X14" s="133"/>
      <c r="Y14" s="133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3"/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60">
        <v>45980</v>
      </c>
      <c r="C16" s="30" t="s">
        <v>299</v>
      </c>
      <c r="D16" s="59">
        <v>0</v>
      </c>
      <c r="E16" s="30" t="s">
        <v>8</v>
      </c>
      <c r="F16" s="30" t="s">
        <v>201</v>
      </c>
      <c r="H16" s="30">
        <v>1</v>
      </c>
      <c r="I16" s="32">
        <v>200</v>
      </c>
      <c r="J16" s="32">
        <v>0</v>
      </c>
      <c r="K16" s="32">
        <v>0</v>
      </c>
      <c r="L16" s="32">
        <f>+I16+J16-K16</f>
        <v>200</v>
      </c>
      <c r="M16" s="30" t="s">
        <v>75</v>
      </c>
      <c r="N16" s="30" t="s">
        <v>18</v>
      </c>
      <c r="O16" s="29"/>
      <c r="P16" s="60">
        <v>45981</v>
      </c>
      <c r="Q16" s="214" t="s">
        <v>47</v>
      </c>
      <c r="T16" s="30" t="s">
        <v>5</v>
      </c>
      <c r="U16" s="32">
        <v>337.6</v>
      </c>
      <c r="V16" s="32">
        <v>0</v>
      </c>
      <c r="W16" s="32">
        <v>337.6</v>
      </c>
      <c r="X16" s="32" t="s">
        <v>75</v>
      </c>
      <c r="Y16" s="138" t="s">
        <v>302</v>
      </c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60">
        <v>45980</v>
      </c>
      <c r="C17" s="30" t="s">
        <v>300</v>
      </c>
      <c r="D17" s="59">
        <v>287831710</v>
      </c>
      <c r="E17" s="30" t="s">
        <v>8</v>
      </c>
      <c r="F17" s="30" t="s">
        <v>201</v>
      </c>
      <c r="G17" s="30">
        <v>203</v>
      </c>
      <c r="H17" s="30">
        <v>1</v>
      </c>
      <c r="I17" s="32">
        <v>325.2</v>
      </c>
      <c r="J17" s="32">
        <v>74.8</v>
      </c>
      <c r="K17" s="32">
        <v>0</v>
      </c>
      <c r="L17" s="32">
        <f t="shared" ref="L17:L18" si="0">+I17+J17-K17</f>
        <v>400</v>
      </c>
      <c r="M17" s="30" t="s">
        <v>75</v>
      </c>
      <c r="N17" s="30" t="s">
        <v>20</v>
      </c>
      <c r="O17" s="29"/>
      <c r="P17" s="60">
        <v>45974</v>
      </c>
      <c r="Q17" s="214" t="s">
        <v>303</v>
      </c>
      <c r="T17" s="30" t="s">
        <v>5</v>
      </c>
      <c r="U17" s="32">
        <v>75</v>
      </c>
      <c r="V17" s="32">
        <v>0</v>
      </c>
      <c r="W17" s="32">
        <f>+Desp_Nov[[#This Row],[Base]]+Desp_Nov[[#This Row],[IVA ]]</f>
        <v>75</v>
      </c>
      <c r="X17" s="32" t="s">
        <v>75</v>
      </c>
      <c r="Y17" s="138" t="s">
        <v>18</v>
      </c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60">
        <v>45980</v>
      </c>
      <c r="C18" s="30" t="s">
        <v>301</v>
      </c>
      <c r="D18" s="59">
        <v>289615461</v>
      </c>
      <c r="E18" s="30" t="s">
        <v>8</v>
      </c>
      <c r="F18" s="30" t="s">
        <v>201</v>
      </c>
      <c r="G18" s="30">
        <v>204</v>
      </c>
      <c r="H18" s="30">
        <v>1</v>
      </c>
      <c r="I18" s="32">
        <v>325.2</v>
      </c>
      <c r="J18" s="32">
        <f>Fat_Nov[[#This Row],[Base]]*0.23</f>
        <v>74.796000000000006</v>
      </c>
      <c r="K18" s="32">
        <v>0</v>
      </c>
      <c r="L18" s="32">
        <f t="shared" si="0"/>
        <v>399.99599999999998</v>
      </c>
      <c r="M18" s="30" t="s">
        <v>75</v>
      </c>
      <c r="N18" s="30" t="s">
        <v>20</v>
      </c>
      <c r="O18" s="29"/>
      <c r="P18" s="60">
        <v>45982</v>
      </c>
      <c r="Q18" s="215" t="s">
        <v>308</v>
      </c>
      <c r="T18" s="30" t="s">
        <v>5</v>
      </c>
      <c r="V18" s="32">
        <f>+Desp_Nov[[#This Row],[Base]]*0.23</f>
        <v>0</v>
      </c>
      <c r="W18" s="32">
        <f>+Desp_Nov[[#This Row],[Base]]+Desp_Nov[[#This Row],[IVA ]]</f>
        <v>0</v>
      </c>
      <c r="Y18" s="138"/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60">
        <v>45981</v>
      </c>
      <c r="C19" s="30" t="s">
        <v>304</v>
      </c>
      <c r="D19" s="59">
        <v>213902451</v>
      </c>
      <c r="E19" s="30" t="s">
        <v>8</v>
      </c>
      <c r="F19" s="30" t="s">
        <v>200</v>
      </c>
      <c r="G19" s="30">
        <v>205</v>
      </c>
      <c r="H19" s="30">
        <v>1</v>
      </c>
      <c r="I19" s="32">
        <v>44.72</v>
      </c>
      <c r="J19" s="32">
        <f>Fat_Nov[[#This Row],[Base]]*0.23</f>
        <v>10.285600000000001</v>
      </c>
      <c r="K19" s="32">
        <v>0</v>
      </c>
      <c r="L19" s="32">
        <f t="shared" ref="L19:L25" si="1">+I19+J19-K19</f>
        <v>55.005600000000001</v>
      </c>
      <c r="M19" s="30" t="s">
        <v>75</v>
      </c>
      <c r="N19" s="30" t="s">
        <v>20</v>
      </c>
      <c r="O19" s="29"/>
      <c r="V19" s="32">
        <f>+Desp_Nov[[#This Row],[Base]]*0.23</f>
        <v>0</v>
      </c>
      <c r="W19" s="32">
        <f>+Desp_Nov[[#This Row],[Base]]+Desp_Nov[[#This Row],[IVA ]]</f>
        <v>0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60">
        <v>45981</v>
      </c>
      <c r="C20" s="30" t="s">
        <v>305</v>
      </c>
      <c r="D20" s="59">
        <v>219727988</v>
      </c>
      <c r="E20" s="30" t="s">
        <v>8</v>
      </c>
      <c r="F20" s="30" t="s">
        <v>199</v>
      </c>
      <c r="G20" s="30">
        <v>206</v>
      </c>
      <c r="H20" s="30">
        <v>1</v>
      </c>
      <c r="I20" s="32">
        <v>69.11</v>
      </c>
      <c r="J20" s="32">
        <f>Fat_Nov[[#This Row],[Base]]*0.23</f>
        <v>15.895300000000001</v>
      </c>
      <c r="K20" s="32">
        <v>0</v>
      </c>
      <c r="L20" s="32">
        <f t="shared" si="1"/>
        <v>85.005300000000005</v>
      </c>
      <c r="M20" s="30" t="s">
        <v>75</v>
      </c>
      <c r="N20" s="30" t="s">
        <v>18</v>
      </c>
      <c r="O20" s="29"/>
      <c r="V20" s="32">
        <f>+Desp_Nov[[#This Row],[Base]]*0.23</f>
        <v>0</v>
      </c>
      <c r="W20" s="32">
        <f>+Desp_Nov[[#This Row],[Base]]+Desp_Nov[[#This Row],[IVA ]]</f>
        <v>0</v>
      </c>
    </row>
    <row r="21" spans="2:544" ht="21.6" customHeight="1">
      <c r="B21" s="60">
        <v>45981</v>
      </c>
      <c r="C21" s="30" t="s">
        <v>306</v>
      </c>
      <c r="D21" s="59">
        <v>265794218</v>
      </c>
      <c r="E21" s="30" t="s">
        <v>8</v>
      </c>
      <c r="F21" s="30" t="s">
        <v>199</v>
      </c>
      <c r="G21" s="30">
        <v>207</v>
      </c>
      <c r="H21" s="30">
        <v>1</v>
      </c>
      <c r="I21" s="32">
        <v>60.98</v>
      </c>
      <c r="J21" s="32">
        <f>Fat_Nov[[#This Row],[Base]]*0.23</f>
        <v>14.025399999999999</v>
      </c>
      <c r="K21" s="32">
        <v>0</v>
      </c>
      <c r="L21" s="32">
        <f t="shared" si="1"/>
        <v>75.005399999999995</v>
      </c>
      <c r="M21" s="30" t="s">
        <v>75</v>
      </c>
      <c r="N21" s="30" t="s">
        <v>13</v>
      </c>
      <c r="O21" s="29"/>
      <c r="V21" s="32">
        <f>+Desp_Nov[[#This Row],[Base]]*0.23</f>
        <v>0</v>
      </c>
      <c r="W21" s="32">
        <f>+Desp_Nov[[#This Row],[Base]]+Desp_Nov[[#This Row],[IVA ]]</f>
        <v>0</v>
      </c>
    </row>
    <row r="22" spans="2:544" ht="21.6" customHeight="1">
      <c r="B22" s="60">
        <v>45981</v>
      </c>
      <c r="C22" s="30" t="s">
        <v>307</v>
      </c>
      <c r="D22" s="59">
        <v>147435510</v>
      </c>
      <c r="E22" s="30" t="s">
        <v>8</v>
      </c>
      <c r="F22" s="30" t="s">
        <v>200</v>
      </c>
      <c r="G22" s="30">
        <v>208</v>
      </c>
      <c r="H22" s="30">
        <v>1</v>
      </c>
      <c r="I22" s="32">
        <v>44.72</v>
      </c>
      <c r="J22" s="32">
        <f>Fat_Nov[[#This Row],[Base]]*0.23</f>
        <v>10.285600000000001</v>
      </c>
      <c r="K22" s="32">
        <v>0</v>
      </c>
      <c r="L22" s="32">
        <f t="shared" si="1"/>
        <v>55.005600000000001</v>
      </c>
      <c r="M22" s="30" t="s">
        <v>75</v>
      </c>
      <c r="N22" s="30" t="s">
        <v>18</v>
      </c>
      <c r="O22" s="29"/>
      <c r="V22" s="32">
        <f>+Desp_Nov[[#This Row],[Base]]*0.23</f>
        <v>0</v>
      </c>
      <c r="W22" s="32">
        <f>+Desp_Nov[[#This Row],[Base]]+Desp_Nov[[#This Row],[IVA ]]</f>
        <v>0</v>
      </c>
    </row>
    <row r="23" spans="2:544" ht="21.6" customHeight="1">
      <c r="B23" s="60">
        <v>45982</v>
      </c>
      <c r="C23" s="30" t="s">
        <v>295</v>
      </c>
      <c r="D23" s="59">
        <v>253607795</v>
      </c>
      <c r="E23" s="30" t="s">
        <v>8</v>
      </c>
      <c r="F23" s="30" t="s">
        <v>201</v>
      </c>
      <c r="G23" s="30">
        <v>209</v>
      </c>
      <c r="H23" s="30">
        <v>1</v>
      </c>
      <c r="I23" s="32">
        <v>81.3</v>
      </c>
      <c r="J23" s="32">
        <f>Fat_Nov[[#This Row],[Base]]*0.23</f>
        <v>18.699000000000002</v>
      </c>
      <c r="K23" s="32">
        <v>0</v>
      </c>
      <c r="L23" s="32">
        <f t="shared" si="1"/>
        <v>99.998999999999995</v>
      </c>
      <c r="M23" s="30" t="s">
        <v>75</v>
      </c>
      <c r="N23" s="30" t="s">
        <v>20</v>
      </c>
      <c r="O23" s="29"/>
    </row>
    <row r="24" spans="2:544" ht="21.6" customHeight="1">
      <c r="B24" s="60">
        <v>45983</v>
      </c>
      <c r="C24" s="30" t="s">
        <v>309</v>
      </c>
      <c r="D24" s="59">
        <v>293113335</v>
      </c>
      <c r="E24" s="30" t="s">
        <v>8</v>
      </c>
      <c r="F24" s="30" t="s">
        <v>200</v>
      </c>
      <c r="G24" s="30">
        <v>210</v>
      </c>
      <c r="H24" s="30">
        <v>1</v>
      </c>
      <c r="I24" s="32">
        <v>44.72</v>
      </c>
      <c r="J24" s="32">
        <f>Fat_Nov[[#This Row],[Base]]*0.23</f>
        <v>10.285600000000001</v>
      </c>
      <c r="K24" s="32">
        <v>0</v>
      </c>
      <c r="L24" s="32">
        <f t="shared" si="1"/>
        <v>55.005600000000001</v>
      </c>
      <c r="M24" s="30" t="s">
        <v>75</v>
      </c>
      <c r="N24" s="30" t="s">
        <v>20</v>
      </c>
      <c r="O24" s="29"/>
    </row>
    <row r="25" spans="2:544" ht="21.6" customHeight="1">
      <c r="B25" s="60">
        <v>45983</v>
      </c>
      <c r="C25" s="30" t="s">
        <v>310</v>
      </c>
      <c r="D25" s="59">
        <v>302233202</v>
      </c>
      <c r="E25" s="30" t="s">
        <v>8</v>
      </c>
      <c r="F25" s="30" t="s">
        <v>200</v>
      </c>
      <c r="G25" s="30">
        <v>211</v>
      </c>
      <c r="H25" s="30">
        <v>1</v>
      </c>
      <c r="I25" s="32">
        <v>44.72</v>
      </c>
      <c r="J25" s="32">
        <f>Fat_Nov[[#This Row],[Base]]*0.23</f>
        <v>10.285600000000001</v>
      </c>
      <c r="K25" s="32">
        <v>0</v>
      </c>
      <c r="L25" s="32">
        <f t="shared" si="1"/>
        <v>55.005600000000001</v>
      </c>
      <c r="M25" s="30" t="s">
        <v>75</v>
      </c>
      <c r="N25" s="30" t="s">
        <v>20</v>
      </c>
      <c r="U25" s="57"/>
      <c r="V25" s="57"/>
      <c r="W25" s="57"/>
      <c r="X25" s="57"/>
    </row>
    <row r="26" spans="2:544" ht="21.6" customHeight="1">
      <c r="B26" s="60">
        <v>45983</v>
      </c>
      <c r="C26" s="30" t="s">
        <v>311</v>
      </c>
      <c r="D26" s="59">
        <v>249813998</v>
      </c>
      <c r="E26" s="30" t="s">
        <v>8</v>
      </c>
      <c r="F26" s="30" t="s">
        <v>199</v>
      </c>
      <c r="G26" s="30">
        <v>212</v>
      </c>
      <c r="H26" s="30">
        <v>1</v>
      </c>
      <c r="I26" s="32">
        <v>69.11</v>
      </c>
      <c r="J26" s="32">
        <f>Fat_Nov[[#This Row],[Base]]*0.23</f>
        <v>15.895300000000001</v>
      </c>
      <c r="K26" s="32">
        <v>0</v>
      </c>
      <c r="L26" s="32">
        <f t="shared" ref="L26:L31" si="2">+I26+J26-K26</f>
        <v>85.005300000000005</v>
      </c>
      <c r="M26" s="30" t="s">
        <v>75</v>
      </c>
      <c r="N26" s="30" t="s">
        <v>20</v>
      </c>
      <c r="U26" s="57"/>
      <c r="V26" s="57"/>
      <c r="W26" s="57"/>
      <c r="X26" s="57"/>
    </row>
    <row r="27" spans="2:544" ht="21.6" customHeight="1">
      <c r="B27" s="60">
        <v>45985</v>
      </c>
      <c r="C27" s="30" t="s">
        <v>312</v>
      </c>
      <c r="D27" s="59">
        <v>238315096</v>
      </c>
      <c r="E27" s="30" t="s">
        <v>8</v>
      </c>
      <c r="F27" s="30" t="s">
        <v>199</v>
      </c>
      <c r="G27" s="30">
        <v>213</v>
      </c>
      <c r="H27" s="30">
        <v>1</v>
      </c>
      <c r="I27" s="32">
        <v>69.11</v>
      </c>
      <c r="J27" s="32">
        <f>Fat_Nov[[#This Row],[Base]]*0.23</f>
        <v>15.895300000000001</v>
      </c>
      <c r="K27" s="32">
        <v>0</v>
      </c>
      <c r="L27" s="32">
        <f t="shared" si="2"/>
        <v>85.005300000000005</v>
      </c>
      <c r="M27" s="30" t="s">
        <v>75</v>
      </c>
      <c r="N27" s="30" t="s">
        <v>20</v>
      </c>
      <c r="U27" s="57"/>
      <c r="V27" s="57"/>
      <c r="W27" s="57"/>
      <c r="X27" s="57"/>
    </row>
    <row r="28" spans="2:544" ht="21.6" customHeight="1">
      <c r="B28" s="60">
        <v>45986</v>
      </c>
      <c r="C28" s="30" t="s">
        <v>304</v>
      </c>
      <c r="D28" s="59">
        <v>213902451</v>
      </c>
      <c r="E28" s="30" t="s">
        <v>8</v>
      </c>
      <c r="F28" s="30" t="s">
        <v>200</v>
      </c>
      <c r="G28" s="30">
        <v>215</v>
      </c>
      <c r="H28" s="30">
        <v>1</v>
      </c>
      <c r="I28" s="32">
        <v>44.72</v>
      </c>
      <c r="J28" s="32">
        <f>Fat_Nov[[#This Row],[Base]]*0.23</f>
        <v>10.285600000000001</v>
      </c>
      <c r="K28" s="32">
        <v>0</v>
      </c>
      <c r="L28" s="32">
        <f t="shared" si="2"/>
        <v>55.005600000000001</v>
      </c>
      <c r="M28" s="30" t="s">
        <v>313</v>
      </c>
      <c r="N28" s="30" t="s">
        <v>20</v>
      </c>
      <c r="U28" s="57"/>
      <c r="V28" s="57"/>
      <c r="W28" s="57"/>
      <c r="X28" s="57"/>
    </row>
    <row r="29" spans="2:544" ht="21.6" customHeight="1">
      <c r="B29" s="60">
        <v>45986</v>
      </c>
      <c r="C29" s="30" t="s">
        <v>314</v>
      </c>
      <c r="D29" s="59">
        <v>300920091</v>
      </c>
      <c r="E29" s="30" t="s">
        <v>8</v>
      </c>
      <c r="F29" s="30" t="s">
        <v>199</v>
      </c>
      <c r="G29" s="30">
        <v>214</v>
      </c>
      <c r="H29" s="30">
        <v>1</v>
      </c>
      <c r="I29" s="32">
        <v>69.11</v>
      </c>
      <c r="J29" s="32">
        <f>Fat_Nov[[#This Row],[Base]]*0.23</f>
        <v>15.895300000000001</v>
      </c>
      <c r="K29" s="32">
        <v>0</v>
      </c>
      <c r="L29" s="32">
        <f t="shared" si="2"/>
        <v>85.005300000000005</v>
      </c>
      <c r="M29" s="30" t="s">
        <v>75</v>
      </c>
      <c r="N29" s="30" t="s">
        <v>18</v>
      </c>
      <c r="U29" s="57"/>
      <c r="V29" s="57"/>
      <c r="W29" s="57"/>
      <c r="X29" s="57"/>
    </row>
    <row r="30" spans="2:544" ht="21.6" customHeight="1">
      <c r="B30" s="60">
        <v>45986</v>
      </c>
      <c r="C30" s="30" t="s">
        <v>315</v>
      </c>
      <c r="D30" s="59">
        <v>297231375</v>
      </c>
      <c r="E30" s="30" t="s">
        <v>8</v>
      </c>
      <c r="F30" s="30" t="s">
        <v>199</v>
      </c>
      <c r="G30" s="30">
        <v>216</v>
      </c>
      <c r="H30" s="30">
        <v>1</v>
      </c>
      <c r="I30" s="32">
        <v>69.11</v>
      </c>
      <c r="J30" s="32">
        <f>Fat_Nov[[#This Row],[Base]]*0.23</f>
        <v>15.895300000000001</v>
      </c>
      <c r="K30" s="32">
        <v>0</v>
      </c>
      <c r="L30" s="32">
        <f t="shared" si="2"/>
        <v>85.005300000000005</v>
      </c>
      <c r="M30" s="30" t="s">
        <v>75</v>
      </c>
      <c r="N30" s="30" t="s">
        <v>18</v>
      </c>
      <c r="U30" s="57"/>
      <c r="V30" s="57"/>
      <c r="W30" s="57"/>
      <c r="X30" s="57"/>
    </row>
    <row r="31" spans="2:544" ht="21.6" customHeight="1">
      <c r="B31" s="60">
        <v>45987</v>
      </c>
      <c r="C31" s="30" t="s">
        <v>316</v>
      </c>
      <c r="D31" s="59">
        <v>0</v>
      </c>
      <c r="E31" s="30" t="s">
        <v>8</v>
      </c>
      <c r="F31" s="30" t="s">
        <v>201</v>
      </c>
      <c r="H31" s="30">
        <v>1</v>
      </c>
      <c r="I31" s="32">
        <v>325</v>
      </c>
      <c r="J31" s="32">
        <v>0</v>
      </c>
      <c r="K31" s="32">
        <v>0</v>
      </c>
      <c r="L31" s="32">
        <f t="shared" si="2"/>
        <v>325</v>
      </c>
      <c r="M31" s="30" t="s">
        <v>75</v>
      </c>
      <c r="N31" s="30" t="s">
        <v>18</v>
      </c>
      <c r="U31" s="57"/>
      <c r="V31" s="57"/>
      <c r="W31" s="57"/>
      <c r="X31" s="57"/>
    </row>
    <row r="32" spans="2:544" ht="21.6" customHeight="1">
      <c r="B32" s="60">
        <v>45988</v>
      </c>
      <c r="C32" s="30" t="s">
        <v>317</v>
      </c>
      <c r="D32" s="59">
        <v>301111391</v>
      </c>
      <c r="E32" s="30" t="s">
        <v>8</v>
      </c>
      <c r="F32" s="30" t="s">
        <v>199</v>
      </c>
      <c r="G32" s="30">
        <v>217</v>
      </c>
      <c r="H32" s="30">
        <v>1</v>
      </c>
      <c r="I32" s="32">
        <v>60.98</v>
      </c>
      <c r="J32" s="32">
        <f>Fat_Nov[[#This Row],[Base]]*0.23</f>
        <v>14.025399999999999</v>
      </c>
      <c r="K32" s="32">
        <v>0</v>
      </c>
      <c r="L32" s="32">
        <f>+I32+J32-K32</f>
        <v>75.005399999999995</v>
      </c>
      <c r="M32" s="30" t="s">
        <v>75</v>
      </c>
      <c r="N32" s="30" t="s">
        <v>20</v>
      </c>
      <c r="U32" s="57"/>
      <c r="V32" s="57"/>
      <c r="W32" s="57"/>
      <c r="X32" s="57"/>
    </row>
    <row r="33" spans="2:24" ht="21.6" customHeight="1">
      <c r="B33" s="60">
        <v>45989</v>
      </c>
      <c r="C33" s="30" t="s">
        <v>318</v>
      </c>
      <c r="D33" s="59">
        <v>193576503</v>
      </c>
      <c r="E33" s="30" t="s">
        <v>8</v>
      </c>
      <c r="F33" s="30" t="s">
        <v>201</v>
      </c>
      <c r="G33" s="30">
        <v>219</v>
      </c>
      <c r="H33" s="30">
        <v>1</v>
      </c>
      <c r="I33" s="32">
        <v>142.28</v>
      </c>
      <c r="J33" s="32">
        <f>Fat_Nov[[#This Row],[Base]]*0.23</f>
        <v>32.724400000000003</v>
      </c>
      <c r="K33" s="32">
        <v>0</v>
      </c>
      <c r="L33" s="32">
        <f>+I33+J33-K33</f>
        <v>175.0044</v>
      </c>
      <c r="M33" s="30" t="s">
        <v>75</v>
      </c>
      <c r="N33" s="30" t="s">
        <v>18</v>
      </c>
      <c r="U33" s="57"/>
      <c r="V33" s="57"/>
      <c r="W33" s="57"/>
      <c r="X33" s="57"/>
    </row>
    <row r="34" spans="2:24" ht="21.6" customHeight="1">
      <c r="B34" s="60">
        <v>45989</v>
      </c>
      <c r="C34" s="30" t="s">
        <v>319</v>
      </c>
      <c r="D34" s="59">
        <v>266723373</v>
      </c>
      <c r="E34" s="30" t="s">
        <v>8</v>
      </c>
      <c r="F34" s="30" t="s">
        <v>199</v>
      </c>
      <c r="G34" s="30">
        <v>218</v>
      </c>
      <c r="H34" s="30">
        <v>1</v>
      </c>
      <c r="I34" s="32">
        <v>69.11</v>
      </c>
      <c r="J34" s="32">
        <f>Fat_Nov[[#This Row],[Base]]*0.23</f>
        <v>15.895300000000001</v>
      </c>
      <c r="K34" s="32">
        <v>0</v>
      </c>
      <c r="L34" s="32">
        <f>+I34+J34-K34</f>
        <v>85.005300000000005</v>
      </c>
      <c r="M34" s="30" t="s">
        <v>75</v>
      </c>
      <c r="N34" s="30" t="s">
        <v>18</v>
      </c>
      <c r="U34" s="57"/>
      <c r="V34" s="57"/>
      <c r="W34" s="57"/>
      <c r="X34" s="57"/>
    </row>
    <row r="35" spans="2:24" ht="21.6" customHeight="1">
      <c r="B35" s="60">
        <v>45990</v>
      </c>
      <c r="C35" s="30" t="s">
        <v>320</v>
      </c>
      <c r="D35" s="59">
        <v>293113335</v>
      </c>
      <c r="E35" s="30" t="s">
        <v>8</v>
      </c>
      <c r="F35" s="30" t="s">
        <v>200</v>
      </c>
      <c r="G35" s="30">
        <v>220</v>
      </c>
      <c r="H35" s="30">
        <v>1</v>
      </c>
      <c r="I35" s="32">
        <v>44.72</v>
      </c>
      <c r="J35" s="32">
        <f>Fat_Nov[[#This Row],[Base]]*0.23</f>
        <v>10.285600000000001</v>
      </c>
      <c r="K35" s="32">
        <v>0</v>
      </c>
      <c r="L35" s="32">
        <f>+I35+J35-K35</f>
        <v>55.005600000000001</v>
      </c>
      <c r="M35" s="30" t="s">
        <v>75</v>
      </c>
      <c r="N35" s="30" t="s">
        <v>20</v>
      </c>
      <c r="U35" s="57"/>
      <c r="V35" s="57"/>
      <c r="W35" s="57"/>
      <c r="X35" s="57"/>
    </row>
    <row r="36" spans="2:24" ht="21.6" customHeight="1">
      <c r="B36" s="60">
        <v>45990</v>
      </c>
      <c r="C36" s="30" t="s">
        <v>321</v>
      </c>
      <c r="D36" s="59">
        <v>302233202</v>
      </c>
      <c r="E36" s="30" t="s">
        <v>8</v>
      </c>
      <c r="F36" s="30" t="s">
        <v>200</v>
      </c>
      <c r="G36" s="30">
        <v>221</v>
      </c>
      <c r="H36" s="30">
        <v>1</v>
      </c>
      <c r="I36" s="32">
        <v>44.72</v>
      </c>
      <c r="J36" s="32">
        <f>Fat_Nov[[#This Row],[Base]]*0.23</f>
        <v>10.285600000000001</v>
      </c>
      <c r="K36" s="32">
        <v>0</v>
      </c>
      <c r="L36" s="32">
        <f>+I36+J36-K36</f>
        <v>55.005600000000001</v>
      </c>
      <c r="M36" s="30" t="s">
        <v>75</v>
      </c>
      <c r="N36" s="30" t="s">
        <v>20</v>
      </c>
      <c r="U36" s="57"/>
      <c r="V36" s="57"/>
      <c r="W36" s="57"/>
      <c r="X36" s="57"/>
    </row>
    <row r="37" spans="2:24" ht="21.6" customHeight="1">
      <c r="U37" s="57"/>
      <c r="V37" s="57"/>
      <c r="W37" s="57"/>
      <c r="X37" s="57"/>
    </row>
    <row r="38" spans="2:24" ht="21.6" customHeight="1">
      <c r="U38" s="57"/>
      <c r="V38" s="57"/>
      <c r="W38" s="57"/>
      <c r="X38" s="57"/>
    </row>
    <row r="39" spans="2:24" ht="21.6" customHeight="1">
      <c r="U39" s="57"/>
      <c r="V39" s="57"/>
      <c r="W39" s="57"/>
      <c r="X39" s="57"/>
    </row>
    <row r="40" spans="2:24" ht="21.6" customHeight="1">
      <c r="U40" s="57"/>
      <c r="V40" s="57"/>
      <c r="W40" s="57"/>
      <c r="X40" s="57"/>
    </row>
    <row r="41" spans="2:24" ht="21.6" customHeight="1">
      <c r="U41" s="57"/>
      <c r="V41" s="57"/>
      <c r="W41" s="57"/>
      <c r="X41" s="57"/>
    </row>
    <row r="42" spans="2:24" ht="21.6" customHeight="1">
      <c r="U42" s="57"/>
      <c r="V42" s="57"/>
      <c r="W42" s="57"/>
      <c r="X42" s="57"/>
    </row>
    <row r="43" spans="2:24" ht="21.6" customHeight="1">
      <c r="U43" s="57"/>
      <c r="V43" s="57"/>
      <c r="W43" s="57"/>
      <c r="X43" s="57"/>
    </row>
    <row r="44" spans="2:24" ht="21.6" customHeight="1">
      <c r="U44" s="57"/>
      <c r="V44" s="57"/>
      <c r="W44" s="57"/>
      <c r="X44" s="57"/>
    </row>
    <row r="45" spans="2:24" ht="21.6" customHeight="1">
      <c r="U45" s="57"/>
      <c r="V45" s="57"/>
      <c r="W45" s="57"/>
      <c r="X45" s="57"/>
    </row>
    <row r="46" spans="2:24" ht="21.6" customHeight="1">
      <c r="U46" s="57"/>
      <c r="V46" s="57"/>
      <c r="W46" s="57"/>
      <c r="X46" s="57"/>
    </row>
    <row r="47" spans="2:24" ht="21.6" customHeight="1">
      <c r="U47" s="57"/>
      <c r="V47" s="57"/>
      <c r="W47" s="57"/>
      <c r="X47" s="57"/>
    </row>
    <row r="48" spans="2:24" ht="21.6" customHeight="1">
      <c r="U48" s="57"/>
      <c r="V48" s="57"/>
      <c r="W48" s="57"/>
      <c r="X48" s="57"/>
    </row>
    <row r="49" spans="21:24" ht="21.6" customHeight="1">
      <c r="U49" s="57"/>
      <c r="V49" s="57"/>
      <c r="W49" s="57"/>
      <c r="X49" s="57"/>
    </row>
    <row r="50" spans="21:24" ht="21.6" customHeight="1">
      <c r="U50" s="57"/>
      <c r="V50" s="57"/>
      <c r="W50" s="57"/>
      <c r="X50" s="57"/>
    </row>
    <row r="51" spans="21:24" ht="21.6" customHeight="1">
      <c r="U51" s="57"/>
      <c r="V51" s="57"/>
      <c r="W51" s="57"/>
      <c r="X51" s="57"/>
    </row>
    <row r="52" spans="21:24" ht="21.6" customHeight="1">
      <c r="U52" s="57"/>
      <c r="V52" s="57"/>
      <c r="W52" s="57"/>
      <c r="X52" s="57"/>
    </row>
    <row r="53" spans="21:24" ht="21.6" customHeight="1">
      <c r="U53" s="57"/>
      <c r="V53" s="57"/>
      <c r="W53" s="57"/>
      <c r="X53" s="57"/>
    </row>
    <row r="54" spans="21:24" ht="21.6" customHeight="1">
      <c r="U54" s="57"/>
      <c r="V54" s="57"/>
      <c r="W54" s="57"/>
      <c r="X54" s="57"/>
    </row>
    <row r="55" spans="21:24" ht="21.6" customHeight="1">
      <c r="U55" s="57"/>
      <c r="V55" s="57"/>
      <c r="W55" s="57"/>
      <c r="X55" s="57"/>
    </row>
    <row r="56" spans="21:24" ht="21.6" customHeight="1">
      <c r="U56" s="57"/>
      <c r="V56" s="57"/>
      <c r="W56" s="57"/>
      <c r="X56" s="57"/>
    </row>
    <row r="57" spans="21:24" ht="21.6" customHeight="1">
      <c r="U57" s="57"/>
      <c r="V57" s="57"/>
      <c r="W57" s="57"/>
      <c r="X57" s="57"/>
    </row>
    <row r="58" spans="21:24" ht="21.6" customHeight="1">
      <c r="U58" s="57"/>
      <c r="V58" s="57"/>
      <c r="W58" s="57"/>
      <c r="X58" s="57"/>
    </row>
    <row r="59" spans="21:24" ht="21.6" customHeight="1">
      <c r="U59" s="57"/>
      <c r="V59" s="57"/>
      <c r="W59" s="57"/>
      <c r="X59" s="57"/>
    </row>
    <row r="60" spans="21:24" ht="21.6" customHeight="1">
      <c r="U60" s="57"/>
      <c r="V60" s="57"/>
      <c r="W60" s="57"/>
      <c r="X60" s="57"/>
    </row>
    <row r="61" spans="21:24" ht="21.6" customHeight="1">
      <c r="U61" s="57"/>
      <c r="V61" s="57"/>
      <c r="W61" s="57"/>
      <c r="X61" s="57"/>
    </row>
    <row r="62" spans="21:24" ht="21.6" customHeight="1">
      <c r="U62" s="57"/>
      <c r="V62" s="57"/>
      <c r="W62" s="57"/>
      <c r="X62" s="57"/>
    </row>
    <row r="63" spans="21:24" ht="21.6" customHeight="1">
      <c r="U63" s="57"/>
      <c r="V63" s="57"/>
      <c r="W63" s="57"/>
      <c r="X63" s="57"/>
    </row>
    <row r="64" spans="21:24" ht="21.6" customHeight="1">
      <c r="U64" s="57"/>
      <c r="V64" s="57"/>
      <c r="W64" s="57"/>
      <c r="X64" s="57"/>
    </row>
    <row r="65" spans="21:24" ht="21.6" customHeight="1">
      <c r="U65" s="57"/>
      <c r="V65" s="57"/>
      <c r="W65" s="57"/>
      <c r="X65" s="57"/>
    </row>
    <row r="66" spans="21:24" ht="21.6" customHeight="1">
      <c r="U66" s="57"/>
      <c r="V66" s="57"/>
      <c r="W66" s="57"/>
      <c r="X66" s="57"/>
    </row>
    <row r="67" spans="21:24" ht="21.6" customHeight="1">
      <c r="U67" s="57"/>
      <c r="V67" s="57"/>
      <c r="W67" s="57"/>
      <c r="X67" s="57"/>
    </row>
    <row r="68" spans="21:24" ht="21.6" customHeight="1">
      <c r="U68" s="57"/>
      <c r="V68" s="57"/>
      <c r="W68" s="57"/>
      <c r="X68" s="57"/>
    </row>
    <row r="69" spans="21:24" ht="21.6" customHeight="1">
      <c r="U69" s="57"/>
      <c r="V69" s="57"/>
      <c r="W69" s="57"/>
      <c r="X69" s="57"/>
    </row>
    <row r="70" spans="21:24" ht="21.6" customHeight="1">
      <c r="U70" s="57"/>
      <c r="V70" s="57"/>
      <c r="W70" s="57"/>
      <c r="X70" s="57"/>
    </row>
    <row r="71" spans="21:24" ht="21.6" customHeight="1">
      <c r="U71" s="57"/>
      <c r="V71" s="57"/>
      <c r="W71" s="57"/>
      <c r="X71" s="57"/>
    </row>
    <row r="72" spans="21:24" ht="21.6" customHeight="1">
      <c r="U72" s="57"/>
      <c r="V72" s="57"/>
      <c r="W72" s="57"/>
      <c r="X72" s="57"/>
    </row>
    <row r="73" spans="21:24" ht="21.6" customHeight="1">
      <c r="U73" s="57"/>
      <c r="V73" s="57"/>
      <c r="W73" s="57"/>
      <c r="X73" s="57"/>
    </row>
    <row r="74" spans="21:24" ht="21.6" customHeight="1">
      <c r="U74" s="57"/>
      <c r="V74" s="57"/>
      <c r="W74" s="57"/>
      <c r="X74" s="57"/>
    </row>
    <row r="75" spans="21:24" ht="21.6" customHeight="1">
      <c r="U75" s="57"/>
      <c r="V75" s="57"/>
      <c r="W75" s="57"/>
      <c r="X75" s="57"/>
    </row>
    <row r="76" spans="21:24" ht="21.6" customHeight="1">
      <c r="U76" s="57"/>
      <c r="V76" s="57"/>
      <c r="W76" s="57"/>
      <c r="X76" s="57"/>
    </row>
    <row r="77" spans="21:24" ht="21.6" customHeight="1">
      <c r="U77" s="57"/>
      <c r="V77" s="57"/>
      <c r="W77" s="57"/>
      <c r="X77" s="57"/>
    </row>
    <row r="78" spans="21:24" ht="21.6" customHeight="1">
      <c r="U78" s="57"/>
      <c r="V78" s="57"/>
      <c r="W78" s="57"/>
      <c r="X78" s="57"/>
    </row>
    <row r="79" spans="21:24" ht="21.6" customHeight="1">
      <c r="U79" s="57"/>
      <c r="V79" s="57"/>
      <c r="W79" s="57"/>
      <c r="X79" s="57"/>
    </row>
    <row r="80" spans="21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</sheetData>
  <mergeCells count="22">
    <mergeCell ref="G10:H10"/>
    <mergeCell ref="O7:P7"/>
    <mergeCell ref="U7:V7"/>
    <mergeCell ref="C8:D8"/>
    <mergeCell ref="G8:H8"/>
    <mergeCell ref="C9:D9"/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</mergeCells>
  <conditionalFormatting sqref="B4:C5 C6:C10 B7:B10">
    <cfRule type="expression" dxfId="34" priority="9">
      <formula>$B4="Resultado Líquido"</formula>
    </cfRule>
    <cfRule type="expression" dxfId="33" priority="10">
      <formula>OR($B4="Faturação",$B4="Despesas")</formula>
    </cfRule>
  </conditionalFormatting>
  <conditionalFormatting sqref="B11:C12">
    <cfRule type="expression" dxfId="32" priority="11">
      <formula>$B11="Resultado Líquido"</formula>
    </cfRule>
    <cfRule type="expression" dxfId="31" priority="12">
      <formula>OR($B11="Faturação",$B11="Despesas")</formula>
    </cfRule>
  </conditionalFormatting>
  <conditionalFormatting sqref="B23:C23 E23:M23 J24:M24 B24:H25 K25:M25 B26:M27 E28:H28 J28:M28 B28:B29 B29:M31 B32:E32 G32:M32 B33:C33 E33:M33 B34:M34 B35:H36 J35:M36 B37:M37 B38:H38 J38:M38 B39:M1048576">
    <cfRule type="expression" dxfId="30" priority="18">
      <formula>$B23="Total"</formula>
    </cfRule>
  </conditionalFormatting>
  <conditionalFormatting sqref="D23">
    <cfRule type="expression" dxfId="29" priority="3">
      <formula>$B23="Total"</formula>
    </cfRule>
  </conditionalFormatting>
  <conditionalFormatting sqref="D33">
    <cfRule type="expression" dxfId="28" priority="1">
      <formula>#REF!="Total"</formula>
    </cfRule>
  </conditionalFormatting>
  <conditionalFormatting sqref="F20">
    <cfRule type="expression" dxfId="27" priority="4">
      <formula>$B20="Total"</formula>
    </cfRule>
  </conditionalFormatting>
  <conditionalFormatting sqref="F32">
    <cfRule type="expression" dxfId="26" priority="2">
      <formula>$B32="Total"</formula>
    </cfRule>
  </conditionalFormatting>
  <conditionalFormatting sqref="G5:G8">
    <cfRule type="expression" dxfId="25" priority="7">
      <formula>$B5="Resultado Líquido"</formula>
    </cfRule>
    <cfRule type="expression" dxfId="24" priority="8">
      <formula>OR($B5="Faturação",$B5="Despesas")</formula>
    </cfRule>
  </conditionalFormatting>
  <conditionalFormatting sqref="G10">
    <cfRule type="expression" dxfId="23" priority="5">
      <formula>$B10="Resultado Líquido"</formula>
    </cfRule>
    <cfRule type="expression" dxfId="22" priority="6">
      <formula>OR($B10="Faturação",$B10="Despesas")</formula>
    </cfRule>
  </conditionalFormatting>
  <conditionalFormatting sqref="O23:O24">
    <cfRule type="expression" dxfId="21" priority="19">
      <formula>#REF!="Total"</formula>
    </cfRule>
  </conditionalFormatting>
  <conditionalFormatting sqref="P15:Y1048576">
    <cfRule type="expression" dxfId="20" priority="17">
      <formula>$P15="Total"</formula>
    </cfRule>
  </conditionalFormatting>
  <dataValidations count="9">
    <dataValidation type="list" allowBlank="1" showInputMessage="1" showErrorMessage="1" sqref="T16:T22" xr:uid="{A1E7474E-C763-4E5E-AE80-94EA84E804A4}">
      <formula1>Filtro_Desp</formula1>
    </dataValidation>
    <dataValidation type="list" allowBlank="1" showInputMessage="1" showErrorMessage="1" sqref="X16:X22" xr:uid="{8DF2FE7A-376F-4486-8F54-6920B849F8F5}">
      <formula1>"Pago,Pendente,Vencido"</formula1>
    </dataValidation>
    <dataValidation type="list" allowBlank="1" showErrorMessage="1" sqref="M16:M38" xr:uid="{DBDE051A-980D-46CB-9A2E-EDDC43F5E96A}">
      <formula1>"Pago,Pendente,Vencido"</formula1>
    </dataValidation>
    <dataValidation type="list" allowBlank="1" showInputMessage="1" showErrorMessage="1" sqref="E16:E38" xr:uid="{8EC2B650-73C1-4515-98C3-87495653F713}">
      <formula1>"Produtos,Serviços"</formula1>
    </dataValidation>
    <dataValidation type="whole" allowBlank="1" showInputMessage="1" showErrorMessage="1" sqref="R16:R22 D16:D38" xr:uid="{E02FA7C9-51FC-4286-BCA7-A4AD6DAF5DB0}">
      <formula1>0</formula1>
      <formula2>999999999</formula2>
    </dataValidation>
    <dataValidation type="date" allowBlank="1" showInputMessage="1" showErrorMessage="1" sqref="P16:P22 B16:B38" xr:uid="{5E3A73A1-F44D-4B77-B195-9E23BFCB2A0A}">
      <formula1>43831</formula1>
      <formula2>73050</formula2>
    </dataValidation>
    <dataValidation type="list" allowBlank="1" showErrorMessage="1" sqref="N16:N38" xr:uid="{ED0D5CE4-EB8C-42C9-A7B6-6C10249557CD}">
      <formula1>Filtro_Pag</formula1>
    </dataValidation>
    <dataValidation type="list" allowBlank="1" showInputMessage="1" showErrorMessage="1" sqref="Y16:Y22" xr:uid="{B491DC50-8586-4FEB-9636-1D0295B67CEF}">
      <formula1>Filtro_Pag</formula1>
    </dataValidation>
    <dataValidation type="list" allowBlank="1" showInputMessage="1" showErrorMessage="1" sqref="F16:F38" xr:uid="{E3EAD100-0973-473A-A097-70CB2BCC775A}">
      <formula1>INDIRECT($E16)</formula1>
    </dataValidation>
  </dataValidations>
  <pageMargins left="0.7" right="0.7" top="0.75" bottom="0.75" header="0" footer="0"/>
  <pageSetup paperSize="9" orientation="portrait" r:id="rId1"/>
  <drawing r:id="rId2"/>
  <tableParts count="2"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472E-5A20-4017-ADFD-E23AFD553670}">
  <sheetPr codeName="Folha16"/>
  <dimension ref="A1:TX989"/>
  <sheetViews>
    <sheetView showGridLines="0" topLeftCell="A63" zoomScale="70" zoomScaleNormal="70" workbookViewId="0">
      <selection activeCell="I78" sqref="I78"/>
    </sheetView>
  </sheetViews>
  <sheetFormatPr defaultColWidth="14.44140625" defaultRowHeight="21.6" customHeight="1"/>
  <cols>
    <col min="1" max="1" width="4.109375" customWidth="1"/>
    <col min="2" max="2" width="17.44140625" style="60" customWidth="1"/>
    <col min="3" max="3" width="22.44140625" style="30" customWidth="1"/>
    <col min="4" max="4" width="14.6640625" style="59" customWidth="1"/>
    <col min="5" max="6" width="16.33203125" style="30" customWidth="1"/>
    <col min="7" max="7" width="15.44140625" style="30" customWidth="1"/>
    <col min="8" max="8" width="12.44140625" style="30" customWidth="1"/>
    <col min="9" max="12" width="12.44140625" style="32" customWidth="1"/>
    <col min="13" max="13" width="12.33203125" style="30" customWidth="1"/>
    <col min="14" max="14" width="21.88671875" style="30" customWidth="1"/>
    <col min="15" max="15" width="4.33203125" customWidth="1"/>
    <col min="16" max="16" width="17.44140625" style="60" customWidth="1"/>
    <col min="17" max="17" width="13.88671875" style="30" customWidth="1"/>
    <col min="18" max="18" width="14.6640625" style="59" customWidth="1"/>
    <col min="19" max="19" width="15.44140625" style="30" customWidth="1"/>
    <col min="20" max="20" width="16.33203125" style="30" customWidth="1"/>
    <col min="21" max="24" width="12.44140625" style="32" customWidth="1"/>
    <col min="25" max="25" width="21.88671875" style="30" customWidth="1"/>
    <col min="26" max="26" width="8.6640625" customWidth="1"/>
    <col min="27" max="27" width="14.44140625" style="115"/>
    <col min="28" max="28" width="16.33203125" style="115" bestFit="1" customWidth="1"/>
    <col min="29" max="29" width="14.44140625" style="116"/>
    <col min="30" max="33" width="14.44140625" style="117"/>
  </cols>
  <sheetData>
    <row r="1" spans="1:544" ht="77.400000000000006" customHeight="1">
      <c r="A1" s="230" t="s">
        <v>123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TR1" s="242" t="s">
        <v>124</v>
      </c>
      <c r="TS1" s="242"/>
      <c r="TT1" s="242"/>
      <c r="TU1" s="242"/>
      <c r="TV1" s="242"/>
      <c r="TW1" s="242"/>
      <c r="TX1" s="242"/>
    </row>
    <row r="2" spans="1:544" ht="14.4">
      <c r="B2" s="33"/>
      <c r="C2" s="29"/>
      <c r="D2" s="29"/>
      <c r="E2" s="29"/>
      <c r="F2" s="29"/>
      <c r="G2" s="29"/>
      <c r="H2" s="32"/>
      <c r="I2" s="31"/>
      <c r="J2" s="31"/>
      <c r="K2" s="31"/>
      <c r="L2" s="29"/>
      <c r="M2" s="29"/>
      <c r="N2"/>
      <c r="P2" s="33"/>
      <c r="Q2" s="29"/>
      <c r="R2" s="29"/>
      <c r="S2" s="29"/>
      <c r="T2" s="29"/>
      <c r="U2" s="31"/>
      <c r="V2" s="31"/>
      <c r="W2" s="31"/>
      <c r="X2" s="31"/>
      <c r="Y2" s="29"/>
      <c r="TR2" s="127" t="s" cm="1">
        <v>72</v>
      </c>
      <c r="TS2" s="127" t="s" cm="1">
        <v>12</v>
      </c>
      <c r="TT2" s="127" cm="1">
        <v>120</v>
      </c>
      <c r="TU2" s="127"/>
      <c r="TV2" s="127" t="s" cm="1">
        <v>72</v>
      </c>
      <c r="TW2" s="127" t="s">
        <v>12</v>
      </c>
      <c r="TX2" s="127" cm="1">
        <v>120</v>
      </c>
    </row>
    <row r="3" spans="1:544" ht="36.9" customHeight="1">
      <c r="C3" s="233" t="s">
        <v>125</v>
      </c>
      <c r="D3" s="233"/>
      <c r="E3" s="233"/>
      <c r="F3" s="233"/>
      <c r="G3" s="233"/>
      <c r="H3" s="233"/>
      <c r="I3" s="233"/>
      <c r="J3" s="31"/>
      <c r="K3" s="31"/>
      <c r="L3" s="233" t="s">
        <v>68</v>
      </c>
      <c r="M3" s="233"/>
      <c r="N3" s="233"/>
      <c r="O3" s="233"/>
      <c r="P3" s="233"/>
      <c r="Q3" s="233"/>
      <c r="R3" s="233"/>
      <c r="S3" s="29"/>
      <c r="T3" s="233" t="s">
        <v>69</v>
      </c>
      <c r="U3" s="233"/>
      <c r="V3" s="233"/>
      <c r="W3" s="31"/>
      <c r="X3" s="31"/>
      <c r="Y3" s="29"/>
      <c r="TR3" s="127"/>
      <c r="TS3" s="127"/>
      <c r="TT3" s="127"/>
      <c r="TU3" s="127"/>
      <c r="TV3" s="127"/>
      <c r="TW3" s="127"/>
      <c r="TX3" s="127"/>
    </row>
    <row r="4" spans="1:544" ht="14.4">
      <c r="B4" s="46"/>
      <c r="C4" s="44"/>
      <c r="D4" s="29"/>
      <c r="E4" s="29"/>
      <c r="H4" s="32"/>
      <c r="I4" s="31"/>
      <c r="J4" s="31"/>
      <c r="K4" s="31"/>
      <c r="L4" s="29"/>
      <c r="M4" s="29"/>
      <c r="N4"/>
      <c r="P4" s="33"/>
      <c r="Q4" s="29"/>
      <c r="R4" s="29"/>
      <c r="S4" s="29"/>
      <c r="T4" s="29"/>
      <c r="U4" s="31"/>
      <c r="V4" s="31"/>
      <c r="W4" s="31"/>
      <c r="X4" s="31"/>
      <c r="Y4" s="29"/>
      <c r="TR4" s="127"/>
      <c r="TS4" s="127"/>
      <c r="TT4" s="127"/>
      <c r="TU4" s="127"/>
      <c r="TV4" s="127"/>
      <c r="TW4" s="127"/>
      <c r="TX4" s="127"/>
    </row>
    <row r="5" spans="1:544" ht="24" customHeight="1">
      <c r="B5" s="46"/>
      <c r="C5" s="235" t="s">
        <v>70</v>
      </c>
      <c r="D5" s="235"/>
      <c r="E5" s="166">
        <f ca="1">SUM(E6:E10)</f>
        <v>7660.9699999999993</v>
      </c>
      <c r="G5" s="235" t="s">
        <v>71</v>
      </c>
      <c r="H5" s="235"/>
      <c r="I5" s="166">
        <f ca="1">SUM(I6:I8)</f>
        <v>0</v>
      </c>
      <c r="J5" s="31"/>
      <c r="K5" s="31"/>
      <c r="L5" s="170" t="s">
        <v>72</v>
      </c>
      <c r="M5" s="171">
        <f>+L14</f>
        <v>9096.8977000000032</v>
      </c>
      <c r="N5" s="168" t="s">
        <v>73</v>
      </c>
      <c r="O5" s="231">
        <f ca="1">+SUMIF(M16:M2599,"Pago",L16:L2499)</f>
        <v>9096.8977000000032</v>
      </c>
      <c r="P5" s="232"/>
      <c r="Q5" s="169" t="s">
        <v>74</v>
      </c>
      <c r="R5" s="172">
        <f ca="1">+SUMIF(M16:M2599,"Vencido",L16:L2499)+SUMIF(M16:M2599,"Pendente",L16:L2499)</f>
        <v>0</v>
      </c>
      <c r="S5" s="29"/>
      <c r="T5" s="169" t="s">
        <v>51</v>
      </c>
      <c r="U5" s="231">
        <f>+J14</f>
        <v>1435.9291000000003</v>
      </c>
      <c r="V5" s="232"/>
      <c r="W5" s="31"/>
      <c r="X5" s="31"/>
      <c r="Y5" s="29"/>
      <c r="TR5" s="127"/>
      <c r="TS5" s="127"/>
      <c r="TT5" s="127"/>
      <c r="TU5" s="127"/>
      <c r="TV5" s="127"/>
      <c r="TW5" s="127"/>
      <c r="TX5" s="127"/>
    </row>
    <row r="6" spans="1:544" s="76" customFormat="1" ht="24" customHeight="1">
      <c r="B6" s="60"/>
      <c r="C6" s="234" t="str">
        <f>+Dados!F5</f>
        <v>qEEG</v>
      </c>
      <c r="D6" s="234"/>
      <c r="E6" s="167">
        <f ca="1">+SUMIF(F16:F199994,C6,I16:I4994)</f>
        <v>794.66000000000008</v>
      </c>
      <c r="F6" s="30"/>
      <c r="G6" s="234" t="s">
        <v>6</v>
      </c>
      <c r="H6" s="234"/>
      <c r="I6" s="167">
        <f ca="1">+SUMIF(T16:T199994,G6,U16:U4994)</f>
        <v>0</v>
      </c>
      <c r="J6" s="32"/>
      <c r="K6" s="32"/>
      <c r="L6" s="173"/>
      <c r="M6" s="173"/>
      <c r="N6" s="174"/>
      <c r="O6" s="175"/>
      <c r="P6" s="175"/>
      <c r="Q6" s="175"/>
      <c r="R6" s="175"/>
      <c r="S6" s="30"/>
      <c r="T6" s="30"/>
      <c r="U6" s="32"/>
      <c r="V6" s="32"/>
      <c r="W6" s="32"/>
      <c r="X6" s="32"/>
      <c r="Y6" s="30"/>
      <c r="AA6" s="115"/>
      <c r="AB6" s="115"/>
      <c r="AC6" s="116"/>
      <c r="AD6" s="164"/>
      <c r="AE6" s="164"/>
      <c r="AF6" s="164"/>
      <c r="AG6" s="164"/>
      <c r="TR6" s="165"/>
      <c r="TS6" s="165"/>
      <c r="TT6" s="165"/>
      <c r="TU6" s="165"/>
      <c r="TV6" s="165"/>
      <c r="TW6" s="165"/>
      <c r="TX6" s="165"/>
    </row>
    <row r="7" spans="1:544" s="76" customFormat="1" ht="24" customHeight="1">
      <c r="B7" s="46"/>
      <c r="C7" s="234" t="str">
        <f>+Dados!F6</f>
        <v>NFB</v>
      </c>
      <c r="D7" s="234"/>
      <c r="E7" s="167">
        <f ca="1">+SUMIF(F16:F199994,C7,I16:I4994)</f>
        <v>1241.6100000000004</v>
      </c>
      <c r="F7" s="30"/>
      <c r="G7" s="234" t="s">
        <v>5</v>
      </c>
      <c r="H7" s="234"/>
      <c r="I7" s="167">
        <f ca="1">+SUMIF(T16:T199994,G7,U16:U4994)</f>
        <v>0</v>
      </c>
      <c r="J7" s="32"/>
      <c r="K7" s="32"/>
      <c r="L7" s="170" t="s">
        <v>4</v>
      </c>
      <c r="M7" s="171">
        <f>+W14</f>
        <v>0</v>
      </c>
      <c r="N7" s="168" t="s">
        <v>75</v>
      </c>
      <c r="O7" s="231">
        <f ca="1">+SUMIF(X16:X2599,"Pago",W16:W2499)</f>
        <v>0</v>
      </c>
      <c r="P7" s="232" t="s">
        <v>74</v>
      </c>
      <c r="Q7" s="169" t="s">
        <v>76</v>
      </c>
      <c r="R7" s="172">
        <f ca="1">+SUMIF(X16:X2599,"Vencido",W16:W2499)+SUMIF(X16:X2599,"Pendente",W16:W2499)</f>
        <v>0</v>
      </c>
      <c r="S7" s="30"/>
      <c r="T7" s="169" t="s">
        <v>77</v>
      </c>
      <c r="U7" s="231">
        <f>+'IRS-2025'!F23</f>
        <v>843.14972916666659</v>
      </c>
      <c r="V7" s="232"/>
      <c r="W7" s="32"/>
      <c r="X7" s="32"/>
      <c r="Y7" s="30"/>
      <c r="AA7" s="115"/>
      <c r="AB7" s="115"/>
      <c r="AC7" s="116"/>
      <c r="AD7" s="164"/>
      <c r="AE7" s="164"/>
      <c r="AF7" s="164"/>
      <c r="AG7" s="164"/>
      <c r="TR7" s="165"/>
      <c r="TS7" s="165"/>
      <c r="TT7" s="165"/>
      <c r="TU7" s="165"/>
      <c r="TV7" s="165"/>
      <c r="TW7" s="165"/>
      <c r="TX7" s="165"/>
    </row>
    <row r="8" spans="1:544" s="76" customFormat="1" ht="24" customHeight="1">
      <c r="B8" s="46"/>
      <c r="C8" s="234" t="str">
        <f>+Dados!F7</f>
        <v>Pack NFB</v>
      </c>
      <c r="D8" s="234"/>
      <c r="E8" s="167">
        <f ca="1">+SUMIF(F16:F199994,C8,I16:I4994)</f>
        <v>5624.6999999999989</v>
      </c>
      <c r="F8" s="30"/>
      <c r="G8" s="234" t="s">
        <v>10</v>
      </c>
      <c r="H8" s="234"/>
      <c r="I8" s="167">
        <f ca="1">+SUMIF(T16:T199994,G8,U16:U4994)</f>
        <v>0</v>
      </c>
      <c r="J8" s="32"/>
      <c r="K8" s="32"/>
      <c r="L8" s="30"/>
      <c r="M8" s="30"/>
      <c r="P8" s="34"/>
      <c r="Q8" s="30"/>
      <c r="R8" s="30"/>
      <c r="S8" s="30"/>
      <c r="T8" s="30"/>
      <c r="U8" s="32"/>
      <c r="V8" s="32"/>
      <c r="W8" s="32"/>
      <c r="X8" s="32"/>
      <c r="Y8" s="30"/>
      <c r="AA8" s="115"/>
      <c r="AB8" s="115"/>
      <c r="AC8" s="116"/>
      <c r="AD8" s="164"/>
      <c r="AE8" s="164"/>
      <c r="AF8" s="164"/>
      <c r="AG8" s="164"/>
      <c r="TR8" s="165"/>
      <c r="TS8" s="165"/>
      <c r="TT8" s="165"/>
      <c r="TU8" s="165"/>
      <c r="TV8" s="165"/>
      <c r="TW8" s="165"/>
      <c r="TX8" s="165"/>
    </row>
    <row r="9" spans="1:544" s="76" customFormat="1" ht="24" customHeight="1">
      <c r="B9" s="46"/>
      <c r="C9" s="234">
        <f>+Dados!F11</f>
        <v>0</v>
      </c>
      <c r="D9" s="234"/>
      <c r="E9" s="167">
        <f ca="1">+SUMIF(F16:F199994,C9,I16:I4994)</f>
        <v>0</v>
      </c>
      <c r="F9" s="30"/>
      <c r="G9" s="30"/>
      <c r="H9" s="32"/>
      <c r="I9" s="32"/>
      <c r="J9" s="32"/>
      <c r="K9" s="32"/>
      <c r="L9" s="30"/>
      <c r="M9" s="30"/>
      <c r="P9" s="34"/>
      <c r="Q9" s="30"/>
      <c r="R9" s="30"/>
      <c r="S9" s="30"/>
      <c r="T9" s="30"/>
      <c r="U9" s="32"/>
      <c r="V9" s="32"/>
      <c r="W9" s="32"/>
      <c r="X9" s="32"/>
      <c r="Y9" s="30"/>
      <c r="AA9" s="115"/>
      <c r="AB9" s="115"/>
      <c r="AC9" s="116"/>
      <c r="AD9" s="164"/>
      <c r="AE9" s="164"/>
      <c r="AF9" s="164"/>
      <c r="AG9" s="164"/>
      <c r="TR9" s="165"/>
      <c r="TS9" s="165"/>
      <c r="TT9" s="165"/>
      <c r="TU9" s="165"/>
      <c r="TV9" s="165"/>
      <c r="TW9" s="165"/>
      <c r="TX9" s="165"/>
    </row>
    <row r="10" spans="1:544" s="76" customFormat="1" ht="24" customHeight="1">
      <c r="B10" s="46"/>
      <c r="C10" s="234">
        <f>+Dados!F12</f>
        <v>0</v>
      </c>
      <c r="D10" s="234"/>
      <c r="E10" s="167">
        <f ca="1">+SUMIF(F16:F199994,C10,I16:I4994)</f>
        <v>0</v>
      </c>
      <c r="F10" s="30"/>
      <c r="G10" s="234" t="s">
        <v>78</v>
      </c>
      <c r="H10" s="234"/>
      <c r="I10" s="167">
        <f ca="1">+E5-I5</f>
        <v>7660.9699999999993</v>
      </c>
      <c r="J10" s="32"/>
      <c r="K10" s="32"/>
      <c r="L10" s="30"/>
      <c r="M10" s="30"/>
      <c r="N10" s="30"/>
      <c r="P10" s="60"/>
      <c r="Q10" s="30"/>
      <c r="R10" s="30"/>
      <c r="S10" s="30"/>
      <c r="T10" s="30"/>
      <c r="U10" s="32"/>
      <c r="V10" s="32"/>
      <c r="W10" s="32"/>
      <c r="X10" s="32"/>
      <c r="Y10" s="30"/>
      <c r="AA10" s="115"/>
      <c r="AB10" s="115"/>
      <c r="AC10" s="116"/>
      <c r="AD10" s="164"/>
      <c r="AE10" s="164"/>
      <c r="AF10" s="164"/>
      <c r="AG10" s="164"/>
      <c r="TR10" s="165"/>
      <c r="TS10" s="165"/>
      <c r="TT10" s="165"/>
      <c r="TU10" s="165"/>
      <c r="TV10" s="165"/>
      <c r="TW10" s="165"/>
      <c r="TX10" s="165"/>
    </row>
    <row r="11" spans="1:544" ht="14.4">
      <c r="B11" s="46"/>
      <c r="C11" s="42"/>
      <c r="D11" s="29"/>
      <c r="E11" s="29"/>
      <c r="F11" s="29"/>
      <c r="G11" s="29"/>
      <c r="H11" s="32"/>
      <c r="I11" s="31"/>
      <c r="J11" s="31"/>
      <c r="K11" s="31"/>
      <c r="L11" s="29"/>
      <c r="M11" s="29"/>
      <c r="N11"/>
      <c r="P11" s="33"/>
      <c r="Q11" s="29"/>
      <c r="R11" s="29"/>
      <c r="S11" s="29"/>
      <c r="T11" s="29"/>
      <c r="U11" s="31"/>
      <c r="V11" s="31"/>
      <c r="W11" s="31"/>
      <c r="X11" s="31"/>
      <c r="Y11" s="29"/>
      <c r="TR11" s="127"/>
      <c r="TS11" s="127"/>
      <c r="TT11" s="127"/>
      <c r="TU11" s="127"/>
      <c r="TV11" s="127"/>
      <c r="TW11" s="127"/>
      <c r="TX11" s="127"/>
    </row>
    <row r="12" spans="1:544" ht="14.4">
      <c r="B12" s="46"/>
      <c r="C12" s="44"/>
      <c r="D12" s="29"/>
      <c r="E12" s="29"/>
      <c r="F12" s="29"/>
      <c r="G12" s="29"/>
      <c r="H12" s="32"/>
      <c r="I12" s="31"/>
      <c r="J12" s="31"/>
      <c r="K12" s="31"/>
      <c r="L12" s="29"/>
      <c r="M12" s="29"/>
      <c r="N12"/>
      <c r="P12" s="33"/>
      <c r="Q12" s="29"/>
      <c r="R12" s="29"/>
      <c r="S12" s="29"/>
      <c r="T12" s="29"/>
      <c r="U12" s="31"/>
      <c r="V12" s="31"/>
      <c r="W12" s="31"/>
      <c r="X12" s="31"/>
      <c r="Y12" s="29"/>
      <c r="TR12" s="127"/>
      <c r="TS12" s="127"/>
      <c r="TT12" s="127"/>
      <c r="TU12" s="127"/>
      <c r="TV12" s="127"/>
      <c r="TW12" s="127"/>
      <c r="TX12" s="127"/>
    </row>
    <row r="13" spans="1:544" ht="21.6" customHeight="1">
      <c r="B13" s="237" t="s">
        <v>72</v>
      </c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P13" s="238" t="s">
        <v>4</v>
      </c>
      <c r="Q13" s="238"/>
      <c r="R13" s="238"/>
      <c r="S13" s="238"/>
      <c r="T13" s="238"/>
      <c r="U13" s="238"/>
      <c r="V13" s="238"/>
      <c r="W13" s="238"/>
      <c r="X13" s="238"/>
      <c r="Y13" s="238"/>
      <c r="TR13" s="127"/>
      <c r="TS13" s="127"/>
      <c r="TT13" s="127"/>
      <c r="TU13" s="127"/>
      <c r="TV13" s="127"/>
      <c r="TW13" s="127"/>
      <c r="TX13" s="127"/>
    </row>
    <row r="14" spans="1:544" ht="21.6" customHeight="1">
      <c r="B14" s="47"/>
      <c r="C14" s="48"/>
      <c r="D14" s="49"/>
      <c r="E14" s="58" t="s">
        <v>79</v>
      </c>
      <c r="F14" s="48"/>
      <c r="G14" s="48"/>
      <c r="H14" s="51"/>
      <c r="I14" s="52">
        <f>+SUM(Fat_Dez[Base])</f>
        <v>7660.9699999999984</v>
      </c>
      <c r="J14" s="52">
        <f>+SUM(Fat_Dez[[IVA ]])</f>
        <v>1435.9291000000003</v>
      </c>
      <c r="K14" s="52">
        <f>+SUM(Fat_Dez[Retenção])</f>
        <v>74.796000000000006</v>
      </c>
      <c r="L14" s="52">
        <f>+SUM(Fat_Dez[Total])</f>
        <v>9096.8977000000032</v>
      </c>
      <c r="M14" s="133"/>
      <c r="N14" s="133"/>
      <c r="P14" s="47"/>
      <c r="Q14" s="48"/>
      <c r="R14" s="58" t="s">
        <v>79</v>
      </c>
      <c r="S14" s="50"/>
      <c r="T14" s="48"/>
      <c r="U14" s="52">
        <f>+SUM(Desp_Dez[Base])</f>
        <v>0</v>
      </c>
      <c r="V14" s="52">
        <f>SUM(Desp_Dez[[IVA ]])</f>
        <v>0</v>
      </c>
      <c r="W14" s="52">
        <f>SUM(Desp_Dez[Total])</f>
        <v>0</v>
      </c>
      <c r="X14"/>
      <c r="Y14"/>
      <c r="TR14" s="127"/>
      <c r="TS14" s="127"/>
      <c r="TT14" s="127"/>
      <c r="TU14" s="127"/>
      <c r="TV14" s="127"/>
      <c r="TW14" s="127"/>
      <c r="TX14" s="127"/>
    </row>
    <row r="15" spans="1:544" ht="21.6" customHeight="1">
      <c r="B15" s="54" t="s">
        <v>80</v>
      </c>
      <c r="C15" s="55" t="s">
        <v>81</v>
      </c>
      <c r="D15" s="55" t="s">
        <v>11</v>
      </c>
      <c r="E15" s="55" t="s">
        <v>82</v>
      </c>
      <c r="F15" s="55" t="s">
        <v>83</v>
      </c>
      <c r="G15" s="55" t="s">
        <v>84</v>
      </c>
      <c r="H15" s="55" t="s">
        <v>85</v>
      </c>
      <c r="I15" s="56" t="s">
        <v>86</v>
      </c>
      <c r="J15" s="56" t="s">
        <v>87</v>
      </c>
      <c r="K15" s="56" t="s">
        <v>88</v>
      </c>
      <c r="L15" s="56" t="s">
        <v>71</v>
      </c>
      <c r="M15" s="55" t="s">
        <v>89</v>
      </c>
      <c r="N15" s="55" t="s">
        <v>90</v>
      </c>
      <c r="O15" s="56" t="s">
        <v>352</v>
      </c>
      <c r="P15" s="55" t="s">
        <v>80</v>
      </c>
      <c r="Q15" s="55" t="s">
        <v>91</v>
      </c>
      <c r="R15" s="55" t="s">
        <v>11</v>
      </c>
      <c r="S15" s="55" t="s">
        <v>84</v>
      </c>
      <c r="T15" s="55" t="s">
        <v>92</v>
      </c>
      <c r="U15" s="56" t="s">
        <v>86</v>
      </c>
      <c r="V15" s="56" t="s">
        <v>87</v>
      </c>
      <c r="W15" s="56" t="s">
        <v>71</v>
      </c>
      <c r="X15" s="56" t="s">
        <v>89</v>
      </c>
      <c r="Y15" s="55" t="s">
        <v>9</v>
      </c>
      <c r="TR15" s="127"/>
      <c r="TS15" s="127"/>
      <c r="TT15" s="127"/>
      <c r="TU15" s="127"/>
      <c r="TV15" s="127"/>
      <c r="TW15" s="127"/>
      <c r="TX15" s="127"/>
    </row>
    <row r="16" spans="1:544" ht="21.6" customHeight="1">
      <c r="B16" s="60">
        <v>45992</v>
      </c>
      <c r="C16" s="30" t="s">
        <v>269</v>
      </c>
      <c r="D16" s="59">
        <v>0</v>
      </c>
      <c r="E16" s="30" t="s">
        <v>8</v>
      </c>
      <c r="F16" s="30" t="s">
        <v>201</v>
      </c>
      <c r="H16" s="30">
        <v>1</v>
      </c>
      <c r="I16" s="32">
        <v>120</v>
      </c>
      <c r="J16" s="32">
        <v>0</v>
      </c>
      <c r="K16" s="32">
        <v>0</v>
      </c>
      <c r="L16" s="32">
        <f>+I16+J16-K16</f>
        <v>120</v>
      </c>
      <c r="M16" s="30" t="s">
        <v>75</v>
      </c>
      <c r="N16" s="30" t="s">
        <v>18</v>
      </c>
      <c r="O16" s="32"/>
      <c r="Q16" s="138"/>
      <c r="V16" s="32">
        <f>+Desp_Dez[[#This Row],[Base]]*0.23</f>
        <v>0</v>
      </c>
      <c r="W16" s="32">
        <f>+Desp_Dez[[#This Row],[Base]]+Desp_Dez[[#This Row],[IVA ]]</f>
        <v>0</v>
      </c>
      <c r="Y16" s="138"/>
      <c r="TR16" s="127"/>
      <c r="TS16" s="127"/>
      <c r="TT16" s="127"/>
      <c r="TU16" s="127"/>
      <c r="TV16" s="127"/>
      <c r="TW16" s="127"/>
      <c r="TX16" s="127"/>
    </row>
    <row r="17" spans="2:544" ht="21.6" customHeight="1">
      <c r="B17" s="60">
        <v>45992</v>
      </c>
      <c r="C17" s="30" t="s">
        <v>322</v>
      </c>
      <c r="D17" s="59">
        <v>293113335</v>
      </c>
      <c r="E17" s="30" t="s">
        <v>8</v>
      </c>
      <c r="F17" s="30" t="s">
        <v>200</v>
      </c>
      <c r="G17" s="30">
        <v>222</v>
      </c>
      <c r="H17" s="30">
        <v>1</v>
      </c>
      <c r="I17" s="32">
        <v>44.72</v>
      </c>
      <c r="J17" s="32">
        <f>Fat_Dez[[#This Row],[Base]]*0.23</f>
        <v>10.285600000000001</v>
      </c>
      <c r="K17" s="32">
        <v>0</v>
      </c>
      <c r="L17" s="32">
        <f t="shared" ref="L17:L18" si="0">+I17+J17-K17</f>
        <v>55.005600000000001</v>
      </c>
      <c r="M17" s="30" t="s">
        <v>75</v>
      </c>
      <c r="N17" s="30" t="s">
        <v>20</v>
      </c>
      <c r="O17" s="32"/>
      <c r="Q17" s="138"/>
      <c r="V17" s="32">
        <f>+Desp_Dez[[#This Row],[Base]]*0.23</f>
        <v>0</v>
      </c>
      <c r="W17" s="32">
        <f>+Desp_Dez[[#This Row],[Base]]+Desp_Dez[[#This Row],[IVA ]]</f>
        <v>0</v>
      </c>
      <c r="Y17" s="138"/>
      <c r="TR17" s="127"/>
      <c r="TS17" s="127"/>
      <c r="TT17" s="127"/>
      <c r="TU17" s="127"/>
      <c r="TV17" s="127"/>
      <c r="TW17" s="127"/>
      <c r="TX17" s="127"/>
    </row>
    <row r="18" spans="2:544" ht="21.6" customHeight="1">
      <c r="B18" s="60">
        <v>45992</v>
      </c>
      <c r="C18" s="30" t="s">
        <v>323</v>
      </c>
      <c r="D18" s="59">
        <v>279859538</v>
      </c>
      <c r="E18" s="30" t="s">
        <v>8</v>
      </c>
      <c r="F18" s="30" t="s">
        <v>200</v>
      </c>
      <c r="G18" s="30">
        <v>223</v>
      </c>
      <c r="H18" s="30">
        <v>1</v>
      </c>
      <c r="I18" s="32">
        <v>44.72</v>
      </c>
      <c r="J18" s="32">
        <f>Fat_Dez[[#This Row],[Base]]*0.23</f>
        <v>10.285600000000001</v>
      </c>
      <c r="K18" s="32">
        <v>0</v>
      </c>
      <c r="L18" s="32">
        <f t="shared" si="0"/>
        <v>55.005600000000001</v>
      </c>
      <c r="M18" s="30" t="s">
        <v>75</v>
      </c>
      <c r="N18" s="30" t="s">
        <v>18</v>
      </c>
      <c r="O18" s="32"/>
      <c r="Q18" s="138"/>
      <c r="V18" s="32">
        <f>+Desp_Dez[[#This Row],[Base]]*0.23</f>
        <v>0</v>
      </c>
      <c r="W18" s="32">
        <f>+Desp_Dez[[#This Row],[Base]]+Desp_Dez[[#This Row],[IVA ]]</f>
        <v>0</v>
      </c>
      <c r="Y18" s="138"/>
      <c r="TR18" s="127"/>
      <c r="TS18" s="127"/>
      <c r="TT18" s="127"/>
      <c r="TU18" s="127"/>
      <c r="TV18" s="127"/>
      <c r="TW18" s="127"/>
      <c r="TX18" s="127"/>
    </row>
    <row r="19" spans="2:544" ht="21.6" customHeight="1">
      <c r="B19" s="60">
        <v>45992</v>
      </c>
      <c r="C19" s="30" t="s">
        <v>324</v>
      </c>
      <c r="D19" s="59">
        <v>0</v>
      </c>
      <c r="E19" s="30" t="s">
        <v>8</v>
      </c>
      <c r="F19" s="30" t="s">
        <v>199</v>
      </c>
      <c r="H19" s="30">
        <v>1</v>
      </c>
      <c r="I19" s="32">
        <v>42.5</v>
      </c>
      <c r="J19" s="32">
        <v>0</v>
      </c>
      <c r="K19" s="32">
        <v>0</v>
      </c>
      <c r="L19" s="32">
        <f t="shared" ref="L19:L21" si="1">+I19+J19-K19</f>
        <v>42.5</v>
      </c>
      <c r="M19" s="30" t="s">
        <v>75</v>
      </c>
      <c r="N19" s="30" t="s">
        <v>18</v>
      </c>
      <c r="O19" s="32"/>
      <c r="V19" s="32">
        <f>+Desp_Dez[[#This Row],[Base]]*0.23</f>
        <v>0</v>
      </c>
      <c r="W19" s="32">
        <f>+Desp_Dez[[#This Row],[Base]]+Desp_Dez[[#This Row],[IVA ]]</f>
        <v>0</v>
      </c>
      <c r="Z19" s="176"/>
      <c r="TR19" s="127"/>
      <c r="TS19" s="127"/>
      <c r="TT19" s="127"/>
      <c r="TU19" s="127"/>
      <c r="TV19" s="127"/>
      <c r="TW19" s="127"/>
      <c r="TX19" s="127"/>
    </row>
    <row r="20" spans="2:544" ht="21.6" customHeight="1">
      <c r="B20" s="60">
        <v>45992</v>
      </c>
      <c r="C20" s="30" t="s">
        <v>321</v>
      </c>
      <c r="D20" s="59">
        <v>302233202</v>
      </c>
      <c r="E20" s="30" t="s">
        <v>8</v>
      </c>
      <c r="F20" s="30" t="s">
        <v>200</v>
      </c>
      <c r="G20" s="30">
        <v>224</v>
      </c>
      <c r="H20" s="30">
        <v>1</v>
      </c>
      <c r="I20" s="32">
        <v>44.72</v>
      </c>
      <c r="J20" s="32">
        <f>Fat_Dez[[#This Row],[Base]]*0.23</f>
        <v>10.285600000000001</v>
      </c>
      <c r="K20" s="32">
        <v>0</v>
      </c>
      <c r="L20" s="32">
        <f t="shared" si="1"/>
        <v>55.005600000000001</v>
      </c>
      <c r="M20" s="30" t="s">
        <v>75</v>
      </c>
      <c r="N20" s="30" t="s">
        <v>20</v>
      </c>
      <c r="O20" s="32"/>
      <c r="V20" s="32">
        <f>+Desp_Dez[[#This Row],[Base]]*0.23</f>
        <v>0</v>
      </c>
      <c r="W20" s="32">
        <f>+Desp_Dez[[#This Row],[Base]]+Desp_Dez[[#This Row],[IVA ]]</f>
        <v>0</v>
      </c>
    </row>
    <row r="21" spans="2:544" ht="21.6" customHeight="1">
      <c r="B21" s="60">
        <v>45993</v>
      </c>
      <c r="C21" s="30" t="s">
        <v>325</v>
      </c>
      <c r="D21" s="59">
        <v>293243603</v>
      </c>
      <c r="E21" s="30" t="s">
        <v>8</v>
      </c>
      <c r="F21" s="30" t="s">
        <v>201</v>
      </c>
      <c r="G21" s="30">
        <v>225</v>
      </c>
      <c r="H21" s="30">
        <v>1</v>
      </c>
      <c r="I21" s="32">
        <v>325.2</v>
      </c>
      <c r="J21" s="32">
        <f>Fat_Dez[[#This Row],[Base]]*0.23</f>
        <v>74.796000000000006</v>
      </c>
      <c r="K21" s="32">
        <v>0</v>
      </c>
      <c r="L21" s="32">
        <f t="shared" si="1"/>
        <v>399.99599999999998</v>
      </c>
      <c r="M21" s="30" t="s">
        <v>75</v>
      </c>
      <c r="N21" s="30" t="s">
        <v>18</v>
      </c>
      <c r="O21" s="32"/>
      <c r="V21" s="32">
        <f>+Desp_Dez[[#This Row],[Base]]*0.23</f>
        <v>0</v>
      </c>
      <c r="W21" s="32">
        <f>+Desp_Dez[[#This Row],[Base]]+Desp_Dez[[#This Row],[IVA ]]</f>
        <v>0</v>
      </c>
    </row>
    <row r="22" spans="2:544" ht="21.6" customHeight="1">
      <c r="B22" s="60">
        <v>45994</v>
      </c>
      <c r="C22" s="30" t="s">
        <v>295</v>
      </c>
      <c r="D22" s="59">
        <v>0</v>
      </c>
      <c r="E22" s="30" t="s">
        <v>8</v>
      </c>
      <c r="F22" s="30" t="s">
        <v>201</v>
      </c>
      <c r="H22" s="30">
        <v>1</v>
      </c>
      <c r="I22" s="32">
        <v>81.3</v>
      </c>
      <c r="J22" s="32">
        <v>0</v>
      </c>
      <c r="K22" s="32">
        <v>0</v>
      </c>
      <c r="L22" s="32">
        <v>81.3</v>
      </c>
      <c r="M22" s="30" t="s">
        <v>75</v>
      </c>
      <c r="N22" s="30" t="s">
        <v>18</v>
      </c>
      <c r="O22" s="32"/>
      <c r="V22" s="32">
        <f>+Desp_Dez[[#This Row],[Base]]*0.23</f>
        <v>0</v>
      </c>
      <c r="W22" s="32">
        <f>+Desp_Dez[[#This Row],[Base]]+Desp_Dez[[#This Row],[IVA ]]</f>
        <v>0</v>
      </c>
    </row>
    <row r="23" spans="2:544" ht="21.6" customHeight="1">
      <c r="B23" s="60">
        <v>45994</v>
      </c>
      <c r="C23" s="30" t="s">
        <v>323</v>
      </c>
      <c r="D23" s="59">
        <v>279859538</v>
      </c>
      <c r="E23" s="30" t="s">
        <v>8</v>
      </c>
      <c r="F23" s="30" t="s">
        <v>200</v>
      </c>
      <c r="G23" s="30">
        <v>226</v>
      </c>
      <c r="H23" s="30">
        <v>1</v>
      </c>
      <c r="I23" s="32">
        <v>44.72</v>
      </c>
      <c r="J23" s="32">
        <f>Fat_Dez[[#This Row],[Base]]*0.23</f>
        <v>10.285600000000001</v>
      </c>
      <c r="K23" s="32">
        <v>0</v>
      </c>
      <c r="L23" s="32">
        <f>+I23+J23-K23</f>
        <v>55.005600000000001</v>
      </c>
      <c r="M23" s="30" t="s">
        <v>75</v>
      </c>
      <c r="N23" s="30" t="s">
        <v>18</v>
      </c>
      <c r="O23" s="32"/>
    </row>
    <row r="24" spans="2:544" ht="21.6" customHeight="1">
      <c r="B24" s="60">
        <v>45996</v>
      </c>
      <c r="C24" s="30" t="s">
        <v>295</v>
      </c>
      <c r="D24" s="59">
        <v>0</v>
      </c>
      <c r="E24" s="30" t="s">
        <v>8</v>
      </c>
      <c r="F24" s="30" t="s">
        <v>200</v>
      </c>
      <c r="H24" s="30">
        <v>1</v>
      </c>
      <c r="I24" s="32">
        <v>44</v>
      </c>
      <c r="J24" s="32">
        <v>0</v>
      </c>
      <c r="K24" s="32">
        <v>0</v>
      </c>
      <c r="L24" s="32">
        <f>+I24+J24-K24</f>
        <v>44</v>
      </c>
      <c r="M24" s="30" t="s">
        <v>75</v>
      </c>
      <c r="N24" s="30" t="s">
        <v>18</v>
      </c>
      <c r="O24" s="32"/>
    </row>
    <row r="25" spans="2:544" ht="21.6" customHeight="1">
      <c r="B25" s="60">
        <v>45996</v>
      </c>
      <c r="C25" s="30" t="s">
        <v>315</v>
      </c>
      <c r="D25" s="59">
        <v>297231375</v>
      </c>
      <c r="E25" s="30" t="s">
        <v>8</v>
      </c>
      <c r="F25" s="30" t="s">
        <v>201</v>
      </c>
      <c r="G25" s="30">
        <v>227</v>
      </c>
      <c r="H25" s="30">
        <v>1</v>
      </c>
      <c r="I25" s="32">
        <v>325.2</v>
      </c>
      <c r="J25" s="32">
        <f>Fat_Dez[[#This Row],[Base]]*0.23</f>
        <v>74.796000000000006</v>
      </c>
      <c r="K25" s="32">
        <f>Fat_Dez[[#This Row],[Base]]*0.23</f>
        <v>74.796000000000006</v>
      </c>
      <c r="L25" s="32">
        <v>400</v>
      </c>
      <c r="M25" s="30" t="s">
        <v>75</v>
      </c>
      <c r="N25" s="30" t="s">
        <v>18</v>
      </c>
      <c r="O25" s="32"/>
      <c r="U25" s="57"/>
      <c r="V25" s="57"/>
      <c r="W25" s="57"/>
      <c r="X25" s="57"/>
    </row>
    <row r="26" spans="2:544" ht="21.6" customHeight="1">
      <c r="B26" s="60">
        <v>45996</v>
      </c>
      <c r="C26" s="30" t="s">
        <v>326</v>
      </c>
      <c r="D26" s="59">
        <v>147435510</v>
      </c>
      <c r="E26" s="30" t="s">
        <v>8</v>
      </c>
      <c r="F26" s="30" t="s">
        <v>200</v>
      </c>
      <c r="G26" s="30">
        <v>228</v>
      </c>
      <c r="H26" s="30">
        <v>1</v>
      </c>
      <c r="I26" s="32">
        <v>44.72</v>
      </c>
      <c r="J26" s="32">
        <f>Fat_Dez[[#This Row],[Base]]*0.23</f>
        <v>10.285600000000001</v>
      </c>
      <c r="K26" s="32">
        <v>0</v>
      </c>
      <c r="L26" s="32">
        <f t="shared" ref="L26:L32" si="2">+I26+J26-K26</f>
        <v>55.005600000000001</v>
      </c>
      <c r="M26" s="30" t="s">
        <v>75</v>
      </c>
      <c r="N26" s="30" t="s">
        <v>18</v>
      </c>
      <c r="O26" s="32"/>
      <c r="U26" s="57"/>
      <c r="V26" s="57"/>
      <c r="W26" s="57"/>
      <c r="X26" s="57"/>
    </row>
    <row r="27" spans="2:544" ht="21.6" customHeight="1">
      <c r="B27" s="60">
        <v>46000</v>
      </c>
      <c r="C27" s="30" t="s">
        <v>327</v>
      </c>
      <c r="D27" s="59">
        <v>213902451</v>
      </c>
      <c r="E27" s="30" t="s">
        <v>8</v>
      </c>
      <c r="F27" s="30" t="s">
        <v>200</v>
      </c>
      <c r="G27" s="30">
        <v>229</v>
      </c>
      <c r="H27" s="30">
        <v>1</v>
      </c>
      <c r="I27" s="32">
        <v>44.72</v>
      </c>
      <c r="J27" s="32">
        <f>Fat_Dez[[#This Row],[Base]]*0.23</f>
        <v>10.285600000000001</v>
      </c>
      <c r="K27" s="32">
        <v>0</v>
      </c>
      <c r="L27" s="32">
        <f t="shared" si="2"/>
        <v>55.005600000000001</v>
      </c>
      <c r="M27" s="30" t="s">
        <v>75</v>
      </c>
      <c r="N27" s="30" t="s">
        <v>20</v>
      </c>
      <c r="O27" s="32"/>
      <c r="U27" s="57"/>
      <c r="V27" s="57"/>
      <c r="W27" s="57"/>
      <c r="X27" s="57"/>
    </row>
    <row r="28" spans="2:544" ht="21.6" customHeight="1">
      <c r="B28" s="60">
        <v>46000</v>
      </c>
      <c r="C28" s="30" t="s">
        <v>328</v>
      </c>
      <c r="D28" s="59">
        <v>288179927</v>
      </c>
      <c r="E28" s="30" t="s">
        <v>8</v>
      </c>
      <c r="F28" s="30" t="s">
        <v>201</v>
      </c>
      <c r="G28" s="30">
        <v>230</v>
      </c>
      <c r="H28" s="30">
        <v>1</v>
      </c>
      <c r="I28" s="32">
        <v>325.2</v>
      </c>
      <c r="J28" s="32">
        <f>Fat_Dez[[#This Row],[Base]]*0.23</f>
        <v>74.796000000000006</v>
      </c>
      <c r="K28" s="32">
        <v>0</v>
      </c>
      <c r="L28" s="32">
        <f t="shared" si="2"/>
        <v>399.99599999999998</v>
      </c>
      <c r="M28" s="30" t="s">
        <v>75</v>
      </c>
      <c r="N28" s="30" t="s">
        <v>20</v>
      </c>
      <c r="O28" s="32"/>
      <c r="U28" s="57"/>
      <c r="V28" s="57"/>
      <c r="W28" s="57"/>
      <c r="X28" s="57"/>
    </row>
    <row r="29" spans="2:544" ht="21.6" customHeight="1">
      <c r="B29" s="60">
        <v>46000</v>
      </c>
      <c r="C29" s="30" t="s">
        <v>314</v>
      </c>
      <c r="D29" s="59">
        <v>300920091</v>
      </c>
      <c r="E29" s="30" t="s">
        <v>8</v>
      </c>
      <c r="F29" s="30" t="s">
        <v>201</v>
      </c>
      <c r="G29" s="30">
        <v>231</v>
      </c>
      <c r="H29" s="30">
        <v>1</v>
      </c>
      <c r="I29" s="32">
        <v>325.2</v>
      </c>
      <c r="J29" s="32">
        <f>Fat_Dez[[#This Row],[Base]]*0.23</f>
        <v>74.796000000000006</v>
      </c>
      <c r="K29" s="32">
        <v>0</v>
      </c>
      <c r="L29" s="32">
        <f t="shared" si="2"/>
        <v>399.99599999999998</v>
      </c>
      <c r="M29" s="30" t="s">
        <v>75</v>
      </c>
      <c r="N29" s="30" t="s">
        <v>18</v>
      </c>
      <c r="O29" s="32"/>
      <c r="U29" s="57"/>
      <c r="V29" s="57"/>
      <c r="W29" s="57"/>
      <c r="X29" s="57"/>
    </row>
    <row r="30" spans="2:544" ht="21.6" customHeight="1">
      <c r="B30" s="60">
        <v>46001</v>
      </c>
      <c r="C30" s="30" t="s">
        <v>295</v>
      </c>
      <c r="D30" s="59">
        <v>0</v>
      </c>
      <c r="E30" s="30" t="s">
        <v>8</v>
      </c>
      <c r="F30" s="30" t="s">
        <v>200</v>
      </c>
      <c r="H30" s="30">
        <v>2</v>
      </c>
      <c r="I30" s="32">
        <v>88</v>
      </c>
      <c r="J30" s="32">
        <v>0</v>
      </c>
      <c r="K30" s="32">
        <v>0</v>
      </c>
      <c r="L30" s="32">
        <f t="shared" si="2"/>
        <v>88</v>
      </c>
      <c r="M30" s="30" t="s">
        <v>75</v>
      </c>
      <c r="N30" s="30" t="s">
        <v>18</v>
      </c>
      <c r="O30" s="32"/>
      <c r="U30" s="57"/>
      <c r="V30" s="57"/>
      <c r="W30" s="57"/>
      <c r="X30" s="57"/>
    </row>
    <row r="31" spans="2:544" ht="21.6" customHeight="1">
      <c r="B31" s="60">
        <v>45994</v>
      </c>
      <c r="C31" s="30" t="s">
        <v>329</v>
      </c>
      <c r="D31" s="59">
        <v>276603796</v>
      </c>
      <c r="E31" s="30" t="s">
        <v>8</v>
      </c>
      <c r="F31" s="30" t="s">
        <v>201</v>
      </c>
      <c r="G31" s="30">
        <v>232</v>
      </c>
      <c r="H31" s="30">
        <v>1</v>
      </c>
      <c r="I31" s="32">
        <v>325.2</v>
      </c>
      <c r="J31" s="32">
        <f>Fat_Dez[[#This Row],[Base]]*0.23</f>
        <v>74.796000000000006</v>
      </c>
      <c r="K31" s="32">
        <v>0</v>
      </c>
      <c r="L31" s="32">
        <f t="shared" si="2"/>
        <v>399.99599999999998</v>
      </c>
      <c r="M31" s="30" t="s">
        <v>75</v>
      </c>
      <c r="N31" s="30" t="s">
        <v>15</v>
      </c>
      <c r="O31" s="32"/>
      <c r="U31" s="57"/>
      <c r="V31" s="57"/>
      <c r="W31" s="57"/>
      <c r="X31" s="57"/>
    </row>
    <row r="32" spans="2:544" ht="21.6" customHeight="1">
      <c r="B32" s="60">
        <v>45994</v>
      </c>
      <c r="C32" s="30" t="s">
        <v>330</v>
      </c>
      <c r="D32" s="59">
        <v>0</v>
      </c>
      <c r="E32" s="30" t="s">
        <v>8</v>
      </c>
      <c r="F32" s="30" t="s">
        <v>201</v>
      </c>
      <c r="H32" s="30">
        <v>1</v>
      </c>
      <c r="I32" s="32">
        <v>200</v>
      </c>
      <c r="J32" s="32">
        <v>0</v>
      </c>
      <c r="K32" s="32">
        <v>0</v>
      </c>
      <c r="L32" s="32">
        <f t="shared" si="2"/>
        <v>200</v>
      </c>
      <c r="M32" s="30" t="s">
        <v>75</v>
      </c>
      <c r="N32" s="30" t="s">
        <v>18</v>
      </c>
      <c r="O32" s="32"/>
      <c r="U32" s="57"/>
      <c r="V32" s="57"/>
      <c r="W32" s="57"/>
      <c r="X32" s="57"/>
    </row>
    <row r="33" spans="2:24" ht="21.6" customHeight="1">
      <c r="B33" s="60">
        <v>46003</v>
      </c>
      <c r="C33" s="30" t="s">
        <v>331</v>
      </c>
      <c r="D33" s="59">
        <v>274055848</v>
      </c>
      <c r="E33" s="30" t="s">
        <v>8</v>
      </c>
      <c r="F33" s="30" t="s">
        <v>199</v>
      </c>
      <c r="G33" s="30">
        <v>233</v>
      </c>
      <c r="H33" s="30">
        <v>1</v>
      </c>
      <c r="I33" s="32">
        <v>69.11</v>
      </c>
      <c r="J33" s="32">
        <f>Fat_Dez[[#This Row],[Base]]*0.23</f>
        <v>15.895300000000001</v>
      </c>
      <c r="K33" s="32">
        <v>0</v>
      </c>
      <c r="L33" s="32">
        <f t="shared" ref="L33:L38" si="3">+I33+J33-K33</f>
        <v>85.005300000000005</v>
      </c>
      <c r="M33" s="30" t="s">
        <v>75</v>
      </c>
      <c r="N33" s="30" t="s">
        <v>18</v>
      </c>
      <c r="O33" s="32"/>
      <c r="U33" s="57"/>
      <c r="V33" s="57"/>
      <c r="W33" s="57"/>
      <c r="X33" s="57"/>
    </row>
    <row r="34" spans="2:24" ht="21.6" customHeight="1">
      <c r="B34" s="60">
        <v>46001</v>
      </c>
      <c r="C34" s="30" t="s">
        <v>295</v>
      </c>
      <c r="D34" s="59">
        <f>D32</f>
        <v>0</v>
      </c>
      <c r="E34" s="30" t="s">
        <v>8</v>
      </c>
      <c r="F34" s="30" t="s">
        <v>200</v>
      </c>
      <c r="H34" s="30">
        <v>2</v>
      </c>
      <c r="I34" s="32">
        <v>88</v>
      </c>
      <c r="J34" s="32">
        <v>0</v>
      </c>
      <c r="K34" s="32">
        <v>0</v>
      </c>
      <c r="L34" s="32">
        <f t="shared" si="3"/>
        <v>88</v>
      </c>
      <c r="M34" s="30" t="s">
        <v>75</v>
      </c>
      <c r="N34" s="30" t="s">
        <v>18</v>
      </c>
      <c r="O34" s="32"/>
      <c r="U34" s="57"/>
      <c r="V34" s="57"/>
      <c r="W34" s="57"/>
      <c r="X34" s="57"/>
    </row>
    <row r="35" spans="2:24" ht="21.6" customHeight="1">
      <c r="B35" s="60">
        <v>46004</v>
      </c>
      <c r="C35" s="30" t="s">
        <v>332</v>
      </c>
      <c r="D35" s="59">
        <v>293113335</v>
      </c>
      <c r="E35" s="30" t="s">
        <v>8</v>
      </c>
      <c r="F35" s="30" t="s">
        <v>200</v>
      </c>
      <c r="G35" s="30">
        <v>234</v>
      </c>
      <c r="H35" s="30">
        <v>1</v>
      </c>
      <c r="I35" s="32">
        <v>44.72</v>
      </c>
      <c r="J35" s="32">
        <f>Fat_Dez[[#This Row],[Base]]*0.23</f>
        <v>10.285600000000001</v>
      </c>
      <c r="K35" s="32">
        <v>0</v>
      </c>
      <c r="L35" s="32">
        <f t="shared" si="3"/>
        <v>55.005600000000001</v>
      </c>
      <c r="M35" s="30" t="s">
        <v>75</v>
      </c>
      <c r="N35" s="30" t="s">
        <v>20</v>
      </c>
      <c r="O35" s="32"/>
      <c r="U35" s="57"/>
      <c r="V35" s="57"/>
      <c r="W35" s="57"/>
      <c r="X35" s="57"/>
    </row>
    <row r="36" spans="2:24" ht="21.6" customHeight="1">
      <c r="B36" s="60">
        <v>46004</v>
      </c>
      <c r="C36" s="30" t="s">
        <v>321</v>
      </c>
      <c r="D36" s="59">
        <v>302233202</v>
      </c>
      <c r="E36" s="30" t="s">
        <v>8</v>
      </c>
      <c r="F36" s="30" t="s">
        <v>200</v>
      </c>
      <c r="G36" s="30">
        <v>235</v>
      </c>
      <c r="H36" s="30">
        <v>1</v>
      </c>
      <c r="I36" s="32">
        <v>44.72</v>
      </c>
      <c r="J36" s="32">
        <f>Fat_Dez[[#This Row],[Base]]*0.23</f>
        <v>10.285600000000001</v>
      </c>
      <c r="K36" s="32">
        <v>0</v>
      </c>
      <c r="L36" s="32">
        <f t="shared" si="3"/>
        <v>55.005600000000001</v>
      </c>
      <c r="M36" s="30" t="s">
        <v>75</v>
      </c>
      <c r="N36" s="30" t="s">
        <v>20</v>
      </c>
      <c r="O36" s="32"/>
      <c r="U36" s="57"/>
      <c r="V36" s="57"/>
      <c r="W36" s="57"/>
      <c r="X36" s="57"/>
    </row>
    <row r="37" spans="2:24" ht="21.6" customHeight="1">
      <c r="B37" s="60">
        <v>46006</v>
      </c>
      <c r="C37" s="30" t="s">
        <v>295</v>
      </c>
      <c r="D37" s="59">
        <v>0</v>
      </c>
      <c r="E37" s="30" t="s">
        <v>8</v>
      </c>
      <c r="F37" s="30" t="s">
        <v>200</v>
      </c>
      <c r="H37" s="30">
        <v>1</v>
      </c>
      <c r="I37" s="32">
        <v>44</v>
      </c>
      <c r="J37" s="32">
        <v>0</v>
      </c>
      <c r="K37" s="32">
        <v>0</v>
      </c>
      <c r="L37" s="32">
        <f t="shared" si="3"/>
        <v>44</v>
      </c>
      <c r="M37" s="30" t="s">
        <v>75</v>
      </c>
      <c r="N37" s="30" t="s">
        <v>18</v>
      </c>
      <c r="O37" s="32"/>
      <c r="U37" s="57"/>
      <c r="V37" s="57"/>
      <c r="W37" s="57"/>
      <c r="X37" s="57"/>
    </row>
    <row r="38" spans="2:24" ht="21.6" customHeight="1">
      <c r="B38" s="60">
        <v>46007</v>
      </c>
      <c r="C38" s="30" t="s">
        <v>333</v>
      </c>
      <c r="D38" s="59">
        <v>158766423</v>
      </c>
      <c r="E38" s="30" t="s">
        <v>8</v>
      </c>
      <c r="F38" s="30" t="s">
        <v>201</v>
      </c>
      <c r="G38" s="30">
        <v>236</v>
      </c>
      <c r="H38" s="30">
        <v>1</v>
      </c>
      <c r="I38" s="32">
        <v>162.6</v>
      </c>
      <c r="J38" s="32">
        <f>Fat_Dez[[#This Row],[Base]]*0.23</f>
        <v>37.398000000000003</v>
      </c>
      <c r="K38" s="32">
        <v>0</v>
      </c>
      <c r="L38" s="32">
        <f t="shared" si="3"/>
        <v>199.99799999999999</v>
      </c>
      <c r="M38" s="30" t="s">
        <v>75</v>
      </c>
      <c r="N38" s="30" t="s">
        <v>20</v>
      </c>
      <c r="O38" s="32"/>
      <c r="U38" s="57"/>
      <c r="V38" s="57"/>
      <c r="W38" s="57"/>
      <c r="X38" s="57"/>
    </row>
    <row r="39" spans="2:24" ht="21.6" customHeight="1">
      <c r="B39" s="60">
        <v>46007</v>
      </c>
      <c r="C39" s="30" t="s">
        <v>334</v>
      </c>
      <c r="D39" s="59">
        <v>218943628</v>
      </c>
      <c r="E39" s="30" t="s">
        <v>8</v>
      </c>
      <c r="F39" s="30" t="s">
        <v>201</v>
      </c>
      <c r="G39" s="30">
        <v>237</v>
      </c>
      <c r="H39" s="30">
        <v>1</v>
      </c>
      <c r="I39" s="32">
        <v>325.2</v>
      </c>
      <c r="J39" s="32">
        <f>Fat_Dez[[#This Row],[Base]]*0.23</f>
        <v>74.796000000000006</v>
      </c>
      <c r="K39" s="32">
        <v>0</v>
      </c>
      <c r="L39" s="32">
        <f t="shared" ref="L39:L46" si="4">+I39+J39-K39</f>
        <v>399.99599999999998</v>
      </c>
      <c r="M39" s="30" t="s">
        <v>75</v>
      </c>
      <c r="N39" s="30" t="s">
        <v>18</v>
      </c>
      <c r="O39" s="32"/>
      <c r="U39" s="57"/>
      <c r="V39" s="57"/>
      <c r="W39" s="57"/>
      <c r="X39" s="57"/>
    </row>
    <row r="40" spans="2:24" ht="21.6" customHeight="1">
      <c r="B40" s="60">
        <v>46008</v>
      </c>
      <c r="C40" s="30" t="s">
        <v>335</v>
      </c>
      <c r="D40" s="59">
        <v>269121480</v>
      </c>
      <c r="E40" s="30" t="s">
        <v>8</v>
      </c>
      <c r="F40" s="30" t="s">
        <v>199</v>
      </c>
      <c r="G40" s="30">
        <v>239</v>
      </c>
      <c r="H40" s="30">
        <v>1</v>
      </c>
      <c r="I40" s="32">
        <v>69.11</v>
      </c>
      <c r="J40" s="32">
        <f>Fat_Dez[[#This Row],[Base]]*0.23</f>
        <v>15.895300000000001</v>
      </c>
      <c r="K40" s="32">
        <v>0</v>
      </c>
      <c r="L40" s="32">
        <f t="shared" si="4"/>
        <v>85.005300000000005</v>
      </c>
      <c r="M40" s="30" t="s">
        <v>75</v>
      </c>
      <c r="N40" s="30" t="s">
        <v>20</v>
      </c>
      <c r="O40" s="32"/>
      <c r="U40" s="57"/>
      <c r="V40" s="57"/>
      <c r="W40" s="57"/>
      <c r="X40" s="57"/>
    </row>
    <row r="41" spans="2:24" ht="21.6" customHeight="1">
      <c r="B41" s="60">
        <v>46008</v>
      </c>
      <c r="C41" s="30" t="s">
        <v>301</v>
      </c>
      <c r="D41" s="59">
        <v>289615461</v>
      </c>
      <c r="E41" s="30" t="s">
        <v>8</v>
      </c>
      <c r="F41" s="30" t="s">
        <v>201</v>
      </c>
      <c r="G41" s="30">
        <v>238</v>
      </c>
      <c r="H41" s="30">
        <v>1</v>
      </c>
      <c r="I41" s="32">
        <v>325.2</v>
      </c>
      <c r="J41" s="32">
        <f>Fat_Dez[[#This Row],[Base]]*0.23</f>
        <v>74.796000000000006</v>
      </c>
      <c r="K41" s="32">
        <v>0</v>
      </c>
      <c r="L41" s="32">
        <f t="shared" si="4"/>
        <v>399.99599999999998</v>
      </c>
      <c r="M41" s="30" t="s">
        <v>75</v>
      </c>
      <c r="N41" s="30" t="s">
        <v>18</v>
      </c>
      <c r="O41" s="32"/>
      <c r="U41" s="57"/>
      <c r="V41" s="57"/>
      <c r="W41" s="57"/>
      <c r="X41" s="57"/>
    </row>
    <row r="42" spans="2:24" ht="21.6" customHeight="1">
      <c r="B42" s="60">
        <v>46009</v>
      </c>
      <c r="C42" s="30" t="s">
        <v>336</v>
      </c>
      <c r="D42" s="59">
        <v>0</v>
      </c>
      <c r="J42" s="32">
        <f>Fat_Dez[[#This Row],[Base]]*0.23</f>
        <v>0</v>
      </c>
      <c r="K42" s="32">
        <f>Fat_Dez[[#This Row],[Base]]*0.23</f>
        <v>0</v>
      </c>
      <c r="L42" s="32">
        <f t="shared" si="4"/>
        <v>0</v>
      </c>
      <c r="M42" s="30" t="s">
        <v>75</v>
      </c>
      <c r="N42" s="30" t="s">
        <v>18</v>
      </c>
      <c r="O42" s="32"/>
      <c r="U42" s="57"/>
      <c r="V42" s="57"/>
      <c r="W42" s="57"/>
      <c r="X42" s="57"/>
    </row>
    <row r="43" spans="2:24" ht="21.6" customHeight="1">
      <c r="B43" s="60">
        <v>46009</v>
      </c>
      <c r="C43" s="219" t="s">
        <v>337</v>
      </c>
      <c r="E43" s="30" t="s">
        <v>8</v>
      </c>
      <c r="F43" s="30" t="s">
        <v>199</v>
      </c>
      <c r="G43" s="30">
        <v>251</v>
      </c>
      <c r="H43" s="30">
        <v>1</v>
      </c>
      <c r="I43" s="32">
        <v>34.15</v>
      </c>
      <c r="J43" s="32">
        <f>Fat_Dez[[#This Row],[Base]]*0.23</f>
        <v>7.8544999999999998</v>
      </c>
      <c r="K43" s="32">
        <v>0</v>
      </c>
      <c r="L43" s="32">
        <f t="shared" si="4"/>
        <v>42.0045</v>
      </c>
      <c r="M43" s="30" t="s">
        <v>75</v>
      </c>
      <c r="N43" s="30" t="s">
        <v>20</v>
      </c>
      <c r="O43" s="32"/>
      <c r="U43" s="57"/>
      <c r="V43" s="57"/>
      <c r="W43" s="57"/>
      <c r="X43" s="57"/>
    </row>
    <row r="44" spans="2:24" ht="21.6" customHeight="1">
      <c r="B44" s="60">
        <v>46010</v>
      </c>
      <c r="C44" s="30" t="s">
        <v>338</v>
      </c>
      <c r="D44" s="59">
        <v>248912062</v>
      </c>
      <c r="E44" s="30" t="s">
        <v>8</v>
      </c>
      <c r="F44" s="30" t="s">
        <v>200</v>
      </c>
      <c r="G44" s="30">
        <v>241</v>
      </c>
      <c r="H44" s="30">
        <v>1</v>
      </c>
      <c r="I44" s="32">
        <v>40.65</v>
      </c>
      <c r="J44" s="32">
        <f>Fat_Dez[[#This Row],[Base]]*0.23</f>
        <v>9.3495000000000008</v>
      </c>
      <c r="K44" s="32">
        <v>0</v>
      </c>
      <c r="L44" s="32">
        <f t="shared" si="4"/>
        <v>49.999499999999998</v>
      </c>
      <c r="M44" s="30" t="s">
        <v>75</v>
      </c>
      <c r="N44" s="30" t="s">
        <v>13</v>
      </c>
      <c r="O44" s="32"/>
      <c r="U44" s="57"/>
      <c r="V44" s="57"/>
      <c r="W44" s="57"/>
      <c r="X44" s="57"/>
    </row>
    <row r="45" spans="2:24" ht="21.6" customHeight="1">
      <c r="B45" s="60">
        <v>46010</v>
      </c>
      <c r="C45" s="30" t="s">
        <v>295</v>
      </c>
      <c r="D45" s="59">
        <v>0</v>
      </c>
      <c r="E45" s="30" t="s">
        <v>8</v>
      </c>
      <c r="F45" s="30" t="s">
        <v>200</v>
      </c>
      <c r="H45" s="30">
        <v>2</v>
      </c>
      <c r="I45" s="32">
        <v>88</v>
      </c>
      <c r="J45" s="32">
        <v>0</v>
      </c>
      <c r="K45" s="32">
        <v>0</v>
      </c>
      <c r="L45" s="32">
        <f t="shared" si="4"/>
        <v>88</v>
      </c>
      <c r="M45" s="30" t="s">
        <v>75</v>
      </c>
      <c r="N45" s="30" t="s">
        <v>18</v>
      </c>
      <c r="O45" s="32"/>
      <c r="U45" s="57"/>
      <c r="V45" s="57"/>
      <c r="W45" s="57"/>
      <c r="X45" s="57"/>
    </row>
    <row r="46" spans="2:24" ht="21.6" customHeight="1">
      <c r="B46" s="60">
        <v>46010</v>
      </c>
      <c r="C46" s="219" t="s">
        <v>339</v>
      </c>
      <c r="E46" s="30" t="s">
        <v>8</v>
      </c>
      <c r="F46" s="30" t="s">
        <v>199</v>
      </c>
      <c r="G46" s="30">
        <v>252</v>
      </c>
      <c r="H46" s="30">
        <v>1</v>
      </c>
      <c r="I46" s="32">
        <v>34.15</v>
      </c>
      <c r="J46" s="32">
        <f>Fat_Dez[[#This Row],[Base]]*0.23</f>
        <v>7.8544999999999998</v>
      </c>
      <c r="K46" s="32">
        <v>0</v>
      </c>
      <c r="L46" s="32">
        <f t="shared" si="4"/>
        <v>42.0045</v>
      </c>
      <c r="M46" s="30" t="s">
        <v>75</v>
      </c>
      <c r="N46" s="30" t="s">
        <v>18</v>
      </c>
      <c r="O46" s="32"/>
      <c r="U46" s="57"/>
      <c r="V46" s="57"/>
      <c r="W46" s="57"/>
      <c r="X46" s="57"/>
    </row>
    <row r="47" spans="2:24" ht="21.6" customHeight="1">
      <c r="B47" s="60">
        <v>46010</v>
      </c>
      <c r="C47" s="30" t="s">
        <v>340</v>
      </c>
      <c r="D47" s="59">
        <v>147435510</v>
      </c>
      <c r="E47" s="30" t="s">
        <v>8</v>
      </c>
      <c r="F47" s="30" t="s">
        <v>200</v>
      </c>
      <c r="G47" s="30">
        <v>242</v>
      </c>
      <c r="H47" s="30">
        <v>1</v>
      </c>
      <c r="I47" s="32">
        <v>44.72</v>
      </c>
      <c r="J47" s="32">
        <f>Fat_Dez[[#This Row],[Base]]*0.23</f>
        <v>10.285600000000001</v>
      </c>
      <c r="K47" s="32">
        <v>0</v>
      </c>
      <c r="L47" s="32">
        <f t="shared" ref="L47:L53" si="5">+I47+J47-K47</f>
        <v>55.005600000000001</v>
      </c>
      <c r="M47" s="30" t="s">
        <v>75</v>
      </c>
      <c r="N47" s="30" t="s">
        <v>18</v>
      </c>
      <c r="O47" s="32"/>
      <c r="U47" s="57"/>
      <c r="V47" s="57"/>
      <c r="W47" s="57"/>
      <c r="X47" s="57"/>
    </row>
    <row r="48" spans="2:24" ht="21.6" customHeight="1">
      <c r="B48" s="60">
        <v>46011</v>
      </c>
      <c r="C48" s="30" t="s">
        <v>341</v>
      </c>
      <c r="D48" s="59">
        <v>287831710</v>
      </c>
      <c r="E48" s="30" t="s">
        <v>8</v>
      </c>
      <c r="F48" s="30" t="s">
        <v>201</v>
      </c>
      <c r="G48" s="30">
        <v>243</v>
      </c>
      <c r="H48" s="30">
        <v>1</v>
      </c>
      <c r="I48" s="32">
        <v>325.2</v>
      </c>
      <c r="J48" s="32">
        <f>Fat_Dez[[#This Row],[Base]]*0.23</f>
        <v>74.796000000000006</v>
      </c>
      <c r="K48" s="32">
        <v>0</v>
      </c>
      <c r="L48" s="32">
        <f t="shared" si="5"/>
        <v>399.99599999999998</v>
      </c>
      <c r="M48" s="30" t="s">
        <v>75</v>
      </c>
      <c r="N48" s="30" t="s">
        <v>20</v>
      </c>
      <c r="O48" s="32"/>
      <c r="U48" s="57"/>
      <c r="V48" s="57"/>
      <c r="W48" s="57"/>
      <c r="X48" s="57"/>
    </row>
    <row r="49" spans="2:24" ht="21.6" customHeight="1">
      <c r="B49" s="60">
        <v>46011</v>
      </c>
      <c r="C49" s="30" t="s">
        <v>342</v>
      </c>
      <c r="D49" s="59">
        <v>293113335</v>
      </c>
      <c r="E49" s="30" t="s">
        <v>8</v>
      </c>
      <c r="F49" s="30" t="s">
        <v>200</v>
      </c>
      <c r="G49" s="30">
        <v>244</v>
      </c>
      <c r="H49" s="30">
        <v>1</v>
      </c>
      <c r="I49" s="32">
        <v>44.72</v>
      </c>
      <c r="J49" s="32">
        <f>Fat_Dez[[#This Row],[Base]]*0.23</f>
        <v>10.285600000000001</v>
      </c>
      <c r="K49" s="32">
        <v>0</v>
      </c>
      <c r="L49" s="32">
        <f t="shared" si="5"/>
        <v>55.005600000000001</v>
      </c>
      <c r="M49" s="30" t="s">
        <v>75</v>
      </c>
      <c r="N49" s="30" t="s">
        <v>20</v>
      </c>
      <c r="O49" s="32"/>
      <c r="U49" s="57"/>
      <c r="V49" s="57"/>
      <c r="W49" s="57"/>
      <c r="X49" s="57"/>
    </row>
    <row r="50" spans="2:24" ht="21.6" customHeight="1">
      <c r="B50" s="60">
        <v>46011</v>
      </c>
      <c r="C50" s="30" t="s">
        <v>343</v>
      </c>
      <c r="D50" s="59">
        <v>302233202</v>
      </c>
      <c r="E50" s="30" t="s">
        <v>8</v>
      </c>
      <c r="F50" s="30" t="s">
        <v>200</v>
      </c>
      <c r="G50" s="30">
        <v>245</v>
      </c>
      <c r="H50" s="30">
        <v>1</v>
      </c>
      <c r="I50" s="32">
        <v>44.72</v>
      </c>
      <c r="J50" s="32">
        <f>Fat_Dez[[#This Row],[Base]]*0.23</f>
        <v>10.285600000000001</v>
      </c>
      <c r="K50" s="32">
        <v>0</v>
      </c>
      <c r="L50" s="32">
        <f t="shared" si="5"/>
        <v>55.005600000000001</v>
      </c>
      <c r="M50" s="30" t="s">
        <v>75</v>
      </c>
      <c r="N50" s="30" t="s">
        <v>13</v>
      </c>
      <c r="O50" s="32"/>
      <c r="U50" s="57"/>
      <c r="V50" s="57"/>
      <c r="W50" s="57"/>
      <c r="X50" s="57"/>
    </row>
    <row r="51" spans="2:24" ht="21.6" customHeight="1">
      <c r="B51" s="60">
        <v>46014</v>
      </c>
      <c r="C51" s="30" t="s">
        <v>344</v>
      </c>
      <c r="D51" s="59">
        <v>285518895</v>
      </c>
      <c r="E51" s="30" t="s">
        <v>8</v>
      </c>
      <c r="F51" s="30" t="s">
        <v>199</v>
      </c>
      <c r="G51" s="30">
        <v>246</v>
      </c>
      <c r="H51" s="30">
        <v>1</v>
      </c>
      <c r="I51" s="32">
        <v>69.11</v>
      </c>
      <c r="J51" s="32">
        <f>Fat_Dez[[#This Row],[Base]]*0.23</f>
        <v>15.895300000000001</v>
      </c>
      <c r="K51" s="32">
        <v>0</v>
      </c>
      <c r="L51" s="32">
        <f t="shared" si="5"/>
        <v>85.005300000000005</v>
      </c>
      <c r="M51" s="30" t="s">
        <v>75</v>
      </c>
      <c r="N51" s="30" t="s">
        <v>20</v>
      </c>
      <c r="O51" s="32"/>
      <c r="U51" s="57"/>
      <c r="V51" s="57"/>
      <c r="W51" s="57"/>
      <c r="X51" s="57"/>
    </row>
    <row r="52" spans="2:24" ht="21.6" customHeight="1">
      <c r="B52" s="60">
        <v>46017</v>
      </c>
      <c r="C52" s="217" t="s">
        <v>345</v>
      </c>
      <c r="D52" s="59">
        <v>228959276</v>
      </c>
      <c r="E52" s="216" t="s">
        <v>8</v>
      </c>
      <c r="F52" s="30" t="s">
        <v>199</v>
      </c>
      <c r="G52" s="30">
        <v>247</v>
      </c>
      <c r="H52" s="30">
        <v>1</v>
      </c>
      <c r="I52" s="32">
        <v>69.11</v>
      </c>
      <c r="J52" s="32">
        <f>Fat_Dez[[#This Row],[Base]]*0.23</f>
        <v>15.895300000000001</v>
      </c>
      <c r="K52" s="32">
        <v>0</v>
      </c>
      <c r="L52" s="32">
        <f t="shared" si="5"/>
        <v>85.005300000000005</v>
      </c>
      <c r="M52" s="30" t="s">
        <v>75</v>
      </c>
      <c r="N52" s="30" t="s">
        <v>18</v>
      </c>
      <c r="O52" s="32"/>
      <c r="U52" s="57"/>
      <c r="V52" s="57"/>
      <c r="W52" s="57"/>
      <c r="X52" s="57"/>
    </row>
    <row r="53" spans="2:24" ht="21.6" customHeight="1">
      <c r="B53" s="60">
        <v>46017</v>
      </c>
      <c r="C53" s="30" t="s">
        <v>326</v>
      </c>
      <c r="D53" s="59">
        <v>147435510</v>
      </c>
      <c r="E53" s="30" t="s">
        <v>8</v>
      </c>
      <c r="F53" s="30" t="s">
        <v>200</v>
      </c>
      <c r="G53" s="30">
        <v>248</v>
      </c>
      <c r="H53" s="30">
        <v>1</v>
      </c>
      <c r="I53" s="32">
        <v>44.72</v>
      </c>
      <c r="J53" s="32">
        <f>Fat_Dez[[#This Row],[Base]]*0.23</f>
        <v>10.285600000000001</v>
      </c>
      <c r="K53" s="32">
        <v>0</v>
      </c>
      <c r="L53" s="32">
        <f t="shared" si="5"/>
        <v>55.005600000000001</v>
      </c>
      <c r="M53" s="30" t="s">
        <v>75</v>
      </c>
      <c r="N53" s="30" t="s">
        <v>18</v>
      </c>
      <c r="O53" s="32"/>
      <c r="U53" s="57"/>
      <c r="V53" s="57"/>
      <c r="W53" s="57"/>
      <c r="X53" s="57"/>
    </row>
    <row r="54" spans="2:24" ht="21.6" customHeight="1">
      <c r="B54" s="60">
        <v>46018</v>
      </c>
      <c r="C54" s="30" t="s">
        <v>343</v>
      </c>
      <c r="D54" s="59">
        <v>302233202</v>
      </c>
      <c r="E54" s="30" t="s">
        <v>8</v>
      </c>
      <c r="F54" s="30" t="s">
        <v>200</v>
      </c>
      <c r="G54" s="30">
        <v>249</v>
      </c>
      <c r="H54" s="30">
        <v>1</v>
      </c>
      <c r="I54" s="32">
        <v>44.72</v>
      </c>
      <c r="J54" s="32">
        <f>Fat_Dez[[#This Row],[Base]]*0.23</f>
        <v>10.285600000000001</v>
      </c>
      <c r="K54" s="32">
        <v>0</v>
      </c>
      <c r="L54" s="32">
        <f t="shared" ref="L54:L59" si="6">+I54+J54-K54</f>
        <v>55.005600000000001</v>
      </c>
      <c r="M54" s="30" t="s">
        <v>75</v>
      </c>
      <c r="N54" s="30" t="s">
        <v>20</v>
      </c>
      <c r="O54" s="32"/>
      <c r="U54" s="57"/>
      <c r="V54" s="57"/>
      <c r="W54" s="57"/>
      <c r="X54" s="57"/>
    </row>
    <row r="55" spans="2:24" ht="21.6" customHeight="1">
      <c r="B55" s="60">
        <v>46020</v>
      </c>
      <c r="C55" s="30" t="s">
        <v>346</v>
      </c>
      <c r="D55" s="59">
        <v>286509792</v>
      </c>
      <c r="E55" s="30" t="s">
        <v>8</v>
      </c>
      <c r="F55" s="30" t="s">
        <v>199</v>
      </c>
      <c r="G55" s="30">
        <v>250</v>
      </c>
      <c r="H55" s="30">
        <v>1</v>
      </c>
      <c r="I55" s="32">
        <v>69.11</v>
      </c>
      <c r="J55" s="32">
        <f>Fat_Dez[[#This Row],[Base]]*0.23</f>
        <v>15.895300000000001</v>
      </c>
      <c r="K55" s="32">
        <v>0</v>
      </c>
      <c r="L55" s="32">
        <f t="shared" si="6"/>
        <v>85.005300000000005</v>
      </c>
      <c r="M55" s="30" t="s">
        <v>75</v>
      </c>
      <c r="N55" s="30" t="s">
        <v>20</v>
      </c>
      <c r="O55" s="32"/>
      <c r="U55" s="57"/>
      <c r="V55" s="57"/>
      <c r="W55" s="57"/>
      <c r="X55" s="57"/>
    </row>
    <row r="56" spans="2:24" ht="21.6" customHeight="1">
      <c r="B56" s="60">
        <v>46020</v>
      </c>
      <c r="C56" s="218" t="s">
        <v>299</v>
      </c>
      <c r="D56" s="59">
        <v>0</v>
      </c>
      <c r="E56" s="30" t="s">
        <v>8</v>
      </c>
      <c r="F56" s="30" t="s">
        <v>201</v>
      </c>
      <c r="H56" s="30">
        <v>1</v>
      </c>
      <c r="I56" s="32">
        <v>200</v>
      </c>
      <c r="J56" s="32">
        <v>0</v>
      </c>
      <c r="K56" s="32">
        <v>0</v>
      </c>
      <c r="L56" s="32">
        <f t="shared" si="6"/>
        <v>200</v>
      </c>
      <c r="M56" s="30" t="s">
        <v>75</v>
      </c>
      <c r="N56" s="30" t="s">
        <v>18</v>
      </c>
      <c r="O56" s="32"/>
      <c r="U56" s="57"/>
      <c r="V56" s="57"/>
      <c r="W56" s="57"/>
      <c r="X56" s="57"/>
    </row>
    <row r="57" spans="2:24" ht="21.6" customHeight="1">
      <c r="B57" s="60">
        <v>46054</v>
      </c>
      <c r="C57" s="30" t="s">
        <v>347</v>
      </c>
      <c r="D57" s="59">
        <v>280061544</v>
      </c>
      <c r="E57" s="30" t="s">
        <v>8</v>
      </c>
      <c r="F57" s="30" t="s">
        <v>199</v>
      </c>
      <c r="G57" s="30">
        <v>253</v>
      </c>
      <c r="H57" s="30">
        <v>1</v>
      </c>
      <c r="I57" s="32">
        <v>69.11</v>
      </c>
      <c r="J57" s="32">
        <f>Fat_Dez[[#This Row],[Base]]*0.23</f>
        <v>15.895300000000001</v>
      </c>
      <c r="K57" s="32">
        <v>0</v>
      </c>
      <c r="L57" s="32">
        <f t="shared" si="6"/>
        <v>85.005300000000005</v>
      </c>
      <c r="M57" s="30" t="s">
        <v>75</v>
      </c>
      <c r="N57" s="218" t="s">
        <v>20</v>
      </c>
      <c r="O57" s="32"/>
      <c r="U57" s="57"/>
      <c r="V57" s="57"/>
      <c r="W57" s="57"/>
      <c r="X57" s="57"/>
    </row>
    <row r="58" spans="2:24" ht="21.6" customHeight="1">
      <c r="B58" s="60">
        <v>46054</v>
      </c>
      <c r="C58" s="30" t="s">
        <v>348</v>
      </c>
      <c r="E58" s="30" t="s">
        <v>8</v>
      </c>
      <c r="F58" s="30" t="s">
        <v>199</v>
      </c>
      <c r="G58" s="30">
        <v>254</v>
      </c>
      <c r="H58" s="30">
        <v>1</v>
      </c>
      <c r="I58" s="32">
        <v>69.11</v>
      </c>
      <c r="J58" s="32">
        <f>Fat_Dez[[#This Row],[Base]]*0.23</f>
        <v>15.895300000000001</v>
      </c>
      <c r="K58" s="32">
        <v>0</v>
      </c>
      <c r="L58" s="32">
        <f t="shared" si="6"/>
        <v>85.005300000000005</v>
      </c>
      <c r="M58" s="30" t="s">
        <v>75</v>
      </c>
      <c r="N58" s="30" t="s">
        <v>18</v>
      </c>
      <c r="O58" s="32"/>
      <c r="U58" s="57"/>
      <c r="V58" s="57"/>
      <c r="W58" s="57"/>
      <c r="X58" s="57"/>
    </row>
    <row r="59" spans="2:24" ht="21.6" customHeight="1">
      <c r="B59" s="60">
        <v>46054</v>
      </c>
      <c r="C59" s="30" t="s">
        <v>347</v>
      </c>
      <c r="D59" s="59">
        <v>280061544</v>
      </c>
      <c r="E59" s="30" t="s">
        <v>8</v>
      </c>
      <c r="F59" s="30" t="s">
        <v>201</v>
      </c>
      <c r="G59" s="30">
        <v>255</v>
      </c>
      <c r="H59" s="30">
        <v>1</v>
      </c>
      <c r="I59" s="32">
        <v>325.2</v>
      </c>
      <c r="J59" s="32">
        <f>Fat_Dez[[#This Row],[Base]]*0.23</f>
        <v>74.796000000000006</v>
      </c>
      <c r="K59" s="32">
        <v>0</v>
      </c>
      <c r="L59" s="32">
        <f t="shared" si="6"/>
        <v>399.99599999999998</v>
      </c>
      <c r="M59" s="30" t="s">
        <v>75</v>
      </c>
      <c r="N59" s="30" t="s">
        <v>20</v>
      </c>
      <c r="O59" s="32"/>
      <c r="U59" s="57"/>
      <c r="V59" s="57"/>
      <c r="W59" s="57"/>
      <c r="X59" s="57"/>
    </row>
    <row r="60" spans="2:24" ht="21.6" customHeight="1">
      <c r="B60" s="60">
        <v>46054</v>
      </c>
      <c r="C60" s="30" t="s">
        <v>349</v>
      </c>
      <c r="D60" s="59">
        <v>293243603</v>
      </c>
      <c r="E60" s="30" t="s">
        <v>8</v>
      </c>
      <c r="F60" s="30" t="s">
        <v>201</v>
      </c>
      <c r="G60" s="30">
        <v>256</v>
      </c>
      <c r="H60" s="30">
        <v>1</v>
      </c>
      <c r="I60" s="32">
        <v>325.2</v>
      </c>
      <c r="J60" s="32">
        <f>Fat_Dez[[#This Row],[Base]]*0.23</f>
        <v>74.796000000000006</v>
      </c>
      <c r="K60" s="32">
        <v>0</v>
      </c>
      <c r="L60" s="32">
        <f>+I60+J60-K60</f>
        <v>399.99599999999998</v>
      </c>
      <c r="M60" s="30" t="s">
        <v>75</v>
      </c>
      <c r="N60" s="30" t="s">
        <v>18</v>
      </c>
      <c r="O60" s="32"/>
      <c r="U60" s="57"/>
      <c r="V60" s="57"/>
      <c r="W60" s="57"/>
      <c r="X60" s="57"/>
    </row>
    <row r="61" spans="2:24" ht="21.6" customHeight="1">
      <c r="B61" s="60">
        <v>46056</v>
      </c>
      <c r="C61" s="30" t="s">
        <v>350</v>
      </c>
      <c r="D61" s="59">
        <v>293113335</v>
      </c>
      <c r="E61" s="30" t="s">
        <v>8</v>
      </c>
      <c r="F61" s="30" t="s">
        <v>200</v>
      </c>
      <c r="G61" s="30">
        <v>257</v>
      </c>
      <c r="H61" s="30">
        <v>1</v>
      </c>
      <c r="I61" s="32">
        <v>44.72</v>
      </c>
      <c r="J61" s="32">
        <f>Fat_Dez[[#This Row],[Base]]*0.23</f>
        <v>10.285600000000001</v>
      </c>
      <c r="K61" s="32">
        <v>0</v>
      </c>
      <c r="L61" s="32">
        <f>+I61+J61-K61</f>
        <v>55.005600000000001</v>
      </c>
      <c r="M61" s="30" t="s">
        <v>75</v>
      </c>
      <c r="N61" s="30" t="s">
        <v>18</v>
      </c>
      <c r="O61" s="32" t="s">
        <v>351</v>
      </c>
      <c r="U61" s="57"/>
      <c r="V61" s="57"/>
      <c r="W61" s="57"/>
      <c r="X61" s="57"/>
    </row>
    <row r="62" spans="2:24" ht="21.6" customHeight="1">
      <c r="B62" s="60">
        <v>46056</v>
      </c>
      <c r="C62" s="30" t="s">
        <v>343</v>
      </c>
      <c r="D62" s="59">
        <v>302233202</v>
      </c>
      <c r="E62" s="30" t="s">
        <v>8</v>
      </c>
      <c r="F62" s="30" t="s">
        <v>200</v>
      </c>
      <c r="G62" s="30">
        <v>258</v>
      </c>
      <c r="H62" s="30">
        <v>1</v>
      </c>
      <c r="I62" s="32">
        <v>44.72</v>
      </c>
      <c r="J62" s="32">
        <f>Fat_Dez[[#This Row],[Base]]*0.23</f>
        <v>10.285600000000001</v>
      </c>
      <c r="K62" s="32">
        <v>0</v>
      </c>
      <c r="L62" s="32">
        <f>+I62+J62-K62</f>
        <v>55.005600000000001</v>
      </c>
      <c r="M62" s="30" t="s">
        <v>75</v>
      </c>
      <c r="N62" s="30" t="s">
        <v>20</v>
      </c>
      <c r="O62" s="32"/>
      <c r="U62" s="57"/>
      <c r="V62" s="57"/>
      <c r="W62" s="57"/>
      <c r="X62" s="57"/>
    </row>
    <row r="63" spans="2:24" ht="21.6" customHeight="1">
      <c r="B63" s="60">
        <v>46027</v>
      </c>
      <c r="C63" s="30" t="s">
        <v>353</v>
      </c>
      <c r="D63" s="59">
        <v>300920091</v>
      </c>
      <c r="E63" s="30" t="s">
        <v>8</v>
      </c>
      <c r="F63" s="30" t="s">
        <v>201</v>
      </c>
      <c r="G63" s="30">
        <v>259</v>
      </c>
      <c r="H63" s="30">
        <v>1</v>
      </c>
      <c r="I63" s="32">
        <v>325.2</v>
      </c>
      <c r="J63" s="32">
        <f>Fat_Dez[[#This Row],[Base]]*0.23</f>
        <v>74.796000000000006</v>
      </c>
      <c r="K63" s="32">
        <v>0</v>
      </c>
      <c r="L63" s="32">
        <f>+I63+J63-K63</f>
        <v>399.99599999999998</v>
      </c>
      <c r="M63" s="30" t="s">
        <v>75</v>
      </c>
      <c r="N63" s="30" t="s">
        <v>18</v>
      </c>
      <c r="O63" s="32"/>
      <c r="U63" s="57"/>
      <c r="V63" s="57"/>
      <c r="W63" s="57"/>
      <c r="X63" s="57"/>
    </row>
    <row r="64" spans="2:24" ht="21.6" customHeight="1">
      <c r="B64" s="60">
        <v>46027</v>
      </c>
      <c r="C64" s="30" t="s">
        <v>354</v>
      </c>
      <c r="D64" s="59">
        <v>227768736</v>
      </c>
      <c r="E64" s="30" t="s">
        <v>8</v>
      </c>
      <c r="F64" s="30" t="s">
        <v>199</v>
      </c>
      <c r="G64" s="30">
        <v>260</v>
      </c>
      <c r="H64" s="30">
        <v>1</v>
      </c>
      <c r="I64" s="32">
        <v>60.98</v>
      </c>
      <c r="J64" s="32">
        <f>Fat_Dez[[#This Row],[Base]]*0.23</f>
        <v>14.025399999999999</v>
      </c>
      <c r="K64" s="32">
        <v>0</v>
      </c>
      <c r="L64" s="32">
        <v>75</v>
      </c>
      <c r="M64" s="30" t="s">
        <v>75</v>
      </c>
      <c r="N64" s="30" t="s">
        <v>18</v>
      </c>
      <c r="O64" s="32"/>
      <c r="U64" s="57"/>
      <c r="V64" s="57"/>
      <c r="W64" s="57"/>
      <c r="X64" s="57"/>
    </row>
    <row r="65" spans="2:24" ht="21.6" customHeight="1">
      <c r="B65" s="60">
        <v>46027</v>
      </c>
      <c r="C65" s="30" t="s">
        <v>328</v>
      </c>
      <c r="D65" s="59">
        <v>288179927</v>
      </c>
      <c r="E65" s="30" t="s">
        <v>8</v>
      </c>
      <c r="F65" s="30" t="s">
        <v>201</v>
      </c>
      <c r="G65" s="30">
        <v>261</v>
      </c>
      <c r="H65" s="30">
        <v>1</v>
      </c>
      <c r="I65" s="32">
        <v>325.2</v>
      </c>
      <c r="J65" s="32">
        <f>Fat_Dez[[#This Row],[Base]]*0.23</f>
        <v>74.796000000000006</v>
      </c>
      <c r="K65" s="32">
        <v>0</v>
      </c>
      <c r="L65" s="32">
        <f t="shared" ref="L65:L72" si="7">+I65+J65-K65</f>
        <v>399.99599999999998</v>
      </c>
      <c r="M65" s="30" t="s">
        <v>75</v>
      </c>
      <c r="N65" s="30" t="s">
        <v>18</v>
      </c>
      <c r="O65" s="32"/>
      <c r="U65" s="57"/>
      <c r="V65" s="57"/>
      <c r="W65" s="57"/>
      <c r="X65" s="57"/>
    </row>
    <row r="66" spans="2:24" ht="21.6" customHeight="1">
      <c r="B66" s="60">
        <v>46027</v>
      </c>
      <c r="C66" s="30" t="s">
        <v>355</v>
      </c>
      <c r="D66" s="59">
        <v>285518895</v>
      </c>
      <c r="E66" s="30" t="s">
        <v>8</v>
      </c>
      <c r="F66" s="30" t="s">
        <v>201</v>
      </c>
      <c r="G66" s="30">
        <v>262</v>
      </c>
      <c r="H66" s="30">
        <v>1</v>
      </c>
      <c r="I66" s="32">
        <v>325.2</v>
      </c>
      <c r="J66" s="32">
        <f>Fat_Dez[[#This Row],[Base]]*0.23</f>
        <v>74.796000000000006</v>
      </c>
      <c r="K66" s="32">
        <v>0</v>
      </c>
      <c r="L66" s="32">
        <f t="shared" si="7"/>
        <v>399.99599999999998</v>
      </c>
      <c r="M66" s="30" t="s">
        <v>75</v>
      </c>
      <c r="N66" s="30" t="s">
        <v>20</v>
      </c>
      <c r="O66" s="32"/>
      <c r="U66" s="57"/>
      <c r="V66" s="57"/>
      <c r="W66" s="57"/>
      <c r="X66" s="57"/>
    </row>
    <row r="67" spans="2:24" ht="21.6" customHeight="1">
      <c r="B67" s="60">
        <v>46028</v>
      </c>
      <c r="C67" s="30" t="s">
        <v>356</v>
      </c>
      <c r="D67" s="59">
        <v>213902451</v>
      </c>
      <c r="E67" s="30" t="s">
        <v>8</v>
      </c>
      <c r="F67" s="30" t="s">
        <v>200</v>
      </c>
      <c r="G67" s="30">
        <v>263</v>
      </c>
      <c r="H67" s="30">
        <v>1</v>
      </c>
      <c r="I67" s="32">
        <v>44.72</v>
      </c>
      <c r="J67" s="32">
        <f>Fat_Dez[[#This Row],[Base]]*0.23</f>
        <v>10.285600000000001</v>
      </c>
      <c r="K67" s="32">
        <v>0</v>
      </c>
      <c r="L67" s="32">
        <f t="shared" si="7"/>
        <v>55.005600000000001</v>
      </c>
      <c r="M67" s="30" t="s">
        <v>75</v>
      </c>
      <c r="N67" s="30" t="s">
        <v>20</v>
      </c>
      <c r="O67" s="32"/>
      <c r="U67" s="57"/>
      <c r="V67" s="57"/>
      <c r="W67" s="57"/>
      <c r="X67" s="57"/>
    </row>
    <row r="68" spans="2:24" ht="21.6" customHeight="1">
      <c r="B68" s="60">
        <v>46028</v>
      </c>
      <c r="C68" s="30" t="s">
        <v>357</v>
      </c>
      <c r="D68" s="59">
        <v>218928408</v>
      </c>
      <c r="E68" s="30" t="s">
        <v>8</v>
      </c>
      <c r="F68" s="30" t="s">
        <v>199</v>
      </c>
      <c r="G68" s="30">
        <v>264</v>
      </c>
      <c r="H68" s="30">
        <v>1</v>
      </c>
      <c r="I68" s="32">
        <v>69.11</v>
      </c>
      <c r="J68" s="32">
        <f>Fat_Dez[[#This Row],[Base]]*0.23</f>
        <v>15.895300000000001</v>
      </c>
      <c r="K68" s="32">
        <v>0</v>
      </c>
      <c r="L68" s="32">
        <f t="shared" si="7"/>
        <v>85.005300000000005</v>
      </c>
      <c r="M68" s="30" t="s">
        <v>75</v>
      </c>
      <c r="N68" s="30" t="s">
        <v>18</v>
      </c>
      <c r="O68" s="32"/>
      <c r="U68" s="57"/>
      <c r="V68" s="57"/>
      <c r="W68" s="57"/>
      <c r="X68" s="57"/>
    </row>
    <row r="69" spans="2:24" ht="21.6" customHeight="1">
      <c r="B69" s="60">
        <v>46030</v>
      </c>
      <c r="C69" s="30" t="s">
        <v>311</v>
      </c>
      <c r="D69" s="59">
        <v>249813998</v>
      </c>
      <c r="E69" s="30" t="s">
        <v>8</v>
      </c>
      <c r="F69" s="30" t="s">
        <v>201</v>
      </c>
      <c r="G69" s="220">
        <v>265</v>
      </c>
      <c r="H69" s="30">
        <v>1</v>
      </c>
      <c r="I69" s="32">
        <v>325.2</v>
      </c>
      <c r="J69" s="32">
        <f>Fat_Dez[[#This Row],[Base]]*0.23</f>
        <v>74.796000000000006</v>
      </c>
      <c r="K69" s="32">
        <v>0</v>
      </c>
      <c r="L69" s="32">
        <f t="shared" si="7"/>
        <v>399.99599999999998</v>
      </c>
      <c r="M69" s="30" t="s">
        <v>75</v>
      </c>
      <c r="N69" s="30" t="s">
        <v>20</v>
      </c>
      <c r="O69" s="32"/>
      <c r="U69" s="57"/>
      <c r="V69" s="57"/>
      <c r="W69" s="57"/>
      <c r="X69" s="57"/>
    </row>
    <row r="70" spans="2:24" ht="21.6" customHeight="1">
      <c r="B70" s="60">
        <v>46031</v>
      </c>
      <c r="C70" s="30" t="s">
        <v>358</v>
      </c>
      <c r="D70" s="59">
        <v>0</v>
      </c>
      <c r="E70" s="30" t="s">
        <v>8</v>
      </c>
      <c r="F70" s="30" t="s">
        <v>201</v>
      </c>
      <c r="H70" s="30">
        <v>1</v>
      </c>
      <c r="I70" s="32">
        <v>308</v>
      </c>
      <c r="J70" s="32">
        <v>0</v>
      </c>
      <c r="K70" s="32">
        <v>0</v>
      </c>
      <c r="L70" s="32">
        <f t="shared" si="7"/>
        <v>308</v>
      </c>
      <c r="M70" s="30" t="s">
        <v>75</v>
      </c>
      <c r="N70" s="30" t="s">
        <v>18</v>
      </c>
      <c r="O70" s="32"/>
      <c r="U70" s="57"/>
      <c r="V70" s="57"/>
      <c r="W70" s="57"/>
      <c r="X70" s="57"/>
    </row>
    <row r="71" spans="2:24" ht="21.6" customHeight="1">
      <c r="B71" s="60">
        <v>46031</v>
      </c>
      <c r="C71" s="30" t="s">
        <v>359</v>
      </c>
      <c r="D71" s="59">
        <v>0</v>
      </c>
      <c r="E71" s="30" t="s">
        <v>8</v>
      </c>
      <c r="F71" s="30" t="s">
        <v>200</v>
      </c>
      <c r="H71" s="30">
        <v>1</v>
      </c>
      <c r="I71" s="32">
        <v>44</v>
      </c>
      <c r="J71" s="32">
        <v>0</v>
      </c>
      <c r="K71" s="32">
        <v>0</v>
      </c>
      <c r="L71" s="32">
        <f t="shared" si="7"/>
        <v>44</v>
      </c>
      <c r="M71" s="30" t="s">
        <v>75</v>
      </c>
      <c r="N71" s="30" t="s">
        <v>13</v>
      </c>
      <c r="O71" s="32"/>
      <c r="U71" s="57"/>
      <c r="V71" s="57"/>
      <c r="W71" s="57"/>
      <c r="X71" s="57"/>
    </row>
    <row r="72" spans="2:24" ht="21.6" customHeight="1">
      <c r="B72" s="60">
        <v>46031</v>
      </c>
      <c r="C72" s="30" t="s">
        <v>360</v>
      </c>
      <c r="D72" s="59">
        <v>0</v>
      </c>
      <c r="E72" s="30" t="s">
        <v>8</v>
      </c>
      <c r="F72" s="30" t="s">
        <v>199</v>
      </c>
      <c r="H72" s="30">
        <v>1</v>
      </c>
      <c r="I72" s="32">
        <v>70</v>
      </c>
      <c r="J72" s="32">
        <v>0</v>
      </c>
      <c r="K72" s="32">
        <v>0</v>
      </c>
      <c r="L72" s="32">
        <f t="shared" si="7"/>
        <v>70</v>
      </c>
      <c r="M72" s="30" t="s">
        <v>75</v>
      </c>
      <c r="N72" s="30" t="s">
        <v>18</v>
      </c>
      <c r="O72" s="32"/>
      <c r="U72" s="57"/>
      <c r="V72" s="57"/>
      <c r="W72" s="57"/>
      <c r="X72" s="57"/>
    </row>
    <row r="73" spans="2:24" ht="21.6" customHeight="1">
      <c r="B73" s="60">
        <v>46032</v>
      </c>
      <c r="C73" s="30" t="s">
        <v>350</v>
      </c>
      <c r="D73" s="59">
        <v>293113335</v>
      </c>
      <c r="E73" s="30" t="s">
        <v>8</v>
      </c>
      <c r="F73" s="30" t="s">
        <v>200</v>
      </c>
      <c r="G73" s="30">
        <v>267</v>
      </c>
      <c r="H73" s="30">
        <v>1</v>
      </c>
      <c r="I73" s="32">
        <v>44.72</v>
      </c>
      <c r="J73" s="32">
        <f>Fat_Dez[[#This Row],[Base]]*0.23</f>
        <v>10.285600000000001</v>
      </c>
      <c r="K73" s="32">
        <v>0</v>
      </c>
      <c r="L73" s="32">
        <f>+I73+J73-K73</f>
        <v>55.005600000000001</v>
      </c>
      <c r="M73" s="30" t="s">
        <v>75</v>
      </c>
      <c r="N73" s="30" t="s">
        <v>20</v>
      </c>
      <c r="O73" s="32"/>
      <c r="U73" s="57"/>
      <c r="V73" s="57"/>
      <c r="W73" s="57"/>
      <c r="X73" s="57"/>
    </row>
    <row r="74" spans="2:24" ht="21.6" customHeight="1">
      <c r="B74" s="60">
        <v>46032</v>
      </c>
      <c r="C74" s="30" t="s">
        <v>321</v>
      </c>
      <c r="D74" s="59">
        <v>302233202</v>
      </c>
      <c r="E74" s="30" t="s">
        <v>8</v>
      </c>
      <c r="F74" s="30" t="s">
        <v>200</v>
      </c>
      <c r="G74" s="30">
        <v>268</v>
      </c>
      <c r="H74" s="30">
        <v>1</v>
      </c>
      <c r="I74" s="32">
        <v>44.72</v>
      </c>
      <c r="J74" s="32">
        <f>Fat_Dez[[#This Row],[Base]]*0.23</f>
        <v>10.285600000000001</v>
      </c>
      <c r="K74" s="32">
        <v>0</v>
      </c>
      <c r="L74" s="32">
        <f>+I74+J74-K74</f>
        <v>55.005600000000001</v>
      </c>
      <c r="M74" s="30" t="s">
        <v>75</v>
      </c>
      <c r="N74" s="30" t="s">
        <v>20</v>
      </c>
      <c r="O74" s="32"/>
      <c r="U74" s="57"/>
      <c r="V74" s="57"/>
      <c r="W74" s="57"/>
      <c r="X74" s="57"/>
    </row>
    <row r="75" spans="2:24" ht="21.6" customHeight="1">
      <c r="U75" s="57"/>
      <c r="V75" s="57"/>
      <c r="W75" s="57"/>
      <c r="X75" s="57"/>
    </row>
    <row r="76" spans="2:24" ht="21.6" customHeight="1">
      <c r="U76" s="57"/>
      <c r="V76" s="57"/>
      <c r="W76" s="57"/>
      <c r="X76" s="57"/>
    </row>
    <row r="77" spans="2:24" ht="21.6" customHeight="1">
      <c r="U77" s="57"/>
      <c r="V77" s="57"/>
      <c r="W77" s="57"/>
      <c r="X77" s="57"/>
    </row>
    <row r="78" spans="2:24" ht="21.6" customHeight="1">
      <c r="U78" s="57"/>
      <c r="V78" s="57"/>
      <c r="W78" s="57"/>
      <c r="X78" s="57"/>
    </row>
    <row r="79" spans="2:24" ht="21.6" customHeight="1">
      <c r="U79" s="57"/>
      <c r="V79" s="57"/>
      <c r="W79" s="57"/>
      <c r="X79" s="57"/>
    </row>
    <row r="80" spans="2:24" ht="21.6" customHeight="1">
      <c r="U80" s="57"/>
      <c r="V80" s="57"/>
      <c r="W80" s="57"/>
      <c r="X80" s="57"/>
    </row>
    <row r="81" spans="21:24" ht="21.6" customHeight="1">
      <c r="U81" s="57"/>
      <c r="V81" s="57"/>
      <c r="W81" s="57"/>
      <c r="X81" s="57"/>
    </row>
    <row r="82" spans="21:24" ht="21.6" customHeight="1">
      <c r="U82" s="57"/>
      <c r="V82" s="57"/>
      <c r="W82" s="57"/>
      <c r="X82" s="57"/>
    </row>
    <row r="83" spans="21:24" ht="21.6" customHeight="1">
      <c r="U83" s="57"/>
      <c r="V83" s="57"/>
      <c r="W83" s="57"/>
      <c r="X83" s="57"/>
    </row>
    <row r="84" spans="21:24" ht="21.6" customHeight="1">
      <c r="U84" s="57"/>
      <c r="V84" s="57"/>
      <c r="W84" s="57"/>
      <c r="X84" s="57"/>
    </row>
    <row r="85" spans="21:24" ht="21.6" customHeight="1">
      <c r="U85" s="57"/>
      <c r="V85" s="57"/>
      <c r="W85" s="57"/>
      <c r="X85" s="57"/>
    </row>
    <row r="86" spans="21:24" ht="21.6" customHeight="1">
      <c r="U86" s="57"/>
      <c r="V86" s="57"/>
      <c r="W86" s="57"/>
      <c r="X86" s="57"/>
    </row>
    <row r="87" spans="21:24" ht="21.6" customHeight="1">
      <c r="U87" s="57"/>
      <c r="V87" s="57"/>
      <c r="W87" s="57"/>
      <c r="X87" s="57"/>
    </row>
    <row r="88" spans="21:24" ht="21.6" customHeight="1">
      <c r="U88" s="57"/>
      <c r="V88" s="57"/>
      <c r="W88" s="57"/>
      <c r="X88" s="57"/>
    </row>
    <row r="89" spans="21:24" ht="21.6" customHeight="1">
      <c r="U89" s="57"/>
      <c r="V89" s="57"/>
      <c r="W89" s="57"/>
      <c r="X89" s="57"/>
    </row>
    <row r="90" spans="21:24" ht="21.6" customHeight="1">
      <c r="U90" s="57"/>
      <c r="V90" s="57"/>
      <c r="W90" s="57"/>
      <c r="X90" s="57"/>
    </row>
    <row r="91" spans="21:24" ht="21.6" customHeight="1">
      <c r="U91" s="57"/>
      <c r="V91" s="57"/>
      <c r="W91" s="57"/>
      <c r="X91" s="57"/>
    </row>
    <row r="92" spans="21:24" ht="21.6" customHeight="1">
      <c r="U92" s="57"/>
      <c r="V92" s="57"/>
      <c r="W92" s="57"/>
      <c r="X92" s="57"/>
    </row>
    <row r="93" spans="21:24" ht="21.6" customHeight="1">
      <c r="U93" s="57"/>
      <c r="V93" s="57"/>
      <c r="W93" s="57"/>
      <c r="X93" s="57"/>
    </row>
    <row r="94" spans="21:24" ht="21.6" customHeight="1">
      <c r="U94" s="57"/>
      <c r="V94" s="57"/>
      <c r="W94" s="57"/>
      <c r="X94" s="57"/>
    </row>
    <row r="95" spans="21:24" ht="21.6" customHeight="1">
      <c r="U95" s="57"/>
      <c r="V95" s="57"/>
      <c r="W95" s="57"/>
      <c r="X95" s="57"/>
    </row>
    <row r="96" spans="21:24" ht="21.6" customHeight="1">
      <c r="U96" s="57"/>
      <c r="V96" s="57"/>
      <c r="W96" s="57"/>
      <c r="X96" s="57"/>
    </row>
    <row r="97" spans="21:24" ht="21.6" customHeight="1">
      <c r="U97" s="57"/>
      <c r="V97" s="57"/>
      <c r="W97" s="57"/>
      <c r="X97" s="57"/>
    </row>
    <row r="98" spans="21:24" ht="21.6" customHeight="1">
      <c r="U98" s="57"/>
      <c r="V98" s="57"/>
      <c r="W98" s="57"/>
      <c r="X98" s="57"/>
    </row>
    <row r="99" spans="21:24" ht="21.6" customHeight="1">
      <c r="U99" s="57"/>
      <c r="V99" s="57"/>
      <c r="W99" s="57"/>
      <c r="X99" s="57"/>
    </row>
    <row r="100" spans="21:24" ht="21.6" customHeight="1">
      <c r="U100" s="57"/>
      <c r="V100" s="57"/>
      <c r="W100" s="57"/>
      <c r="X100" s="57"/>
    </row>
    <row r="101" spans="21:24" ht="21.6" customHeight="1">
      <c r="U101" s="57"/>
      <c r="V101" s="57"/>
      <c r="W101" s="57"/>
      <c r="X101" s="57"/>
    </row>
    <row r="102" spans="21:24" ht="21.6" customHeight="1">
      <c r="U102" s="57"/>
      <c r="V102" s="57"/>
      <c r="W102" s="57"/>
      <c r="X102" s="57"/>
    </row>
    <row r="103" spans="21:24" ht="21.6" customHeight="1">
      <c r="U103" s="57"/>
      <c r="V103" s="57"/>
      <c r="W103" s="57"/>
      <c r="X103" s="57"/>
    </row>
    <row r="104" spans="21:24" ht="21.6" customHeight="1">
      <c r="U104" s="57"/>
      <c r="V104" s="57"/>
      <c r="W104" s="57"/>
      <c r="X104" s="57"/>
    </row>
    <row r="105" spans="21:24" ht="21.6" customHeight="1">
      <c r="U105" s="57"/>
      <c r="V105" s="57"/>
      <c r="W105" s="57"/>
      <c r="X105" s="57"/>
    </row>
    <row r="106" spans="21:24" ht="21.6" customHeight="1">
      <c r="U106" s="57"/>
      <c r="V106" s="57"/>
      <c r="W106" s="57"/>
      <c r="X106" s="57"/>
    </row>
    <row r="107" spans="21:24" ht="21.6" customHeight="1">
      <c r="U107" s="57"/>
      <c r="V107" s="57"/>
      <c r="W107" s="57"/>
      <c r="X107" s="57"/>
    </row>
    <row r="108" spans="21:24" ht="21.6" customHeight="1">
      <c r="U108" s="57"/>
      <c r="V108" s="57"/>
      <c r="W108" s="57"/>
      <c r="X108" s="57"/>
    </row>
    <row r="109" spans="21:24" ht="21.6" customHeight="1">
      <c r="U109" s="57"/>
      <c r="V109" s="57"/>
      <c r="W109" s="57"/>
      <c r="X109" s="57"/>
    </row>
    <row r="110" spans="21:24" ht="21.6" customHeight="1">
      <c r="U110" s="57"/>
      <c r="V110" s="57"/>
      <c r="W110" s="57"/>
      <c r="X110" s="57"/>
    </row>
    <row r="111" spans="21:24" ht="21.6" customHeight="1">
      <c r="U111" s="57"/>
      <c r="V111" s="57"/>
      <c r="W111" s="57"/>
      <c r="X111" s="57"/>
    </row>
    <row r="112" spans="21:24" ht="21.6" customHeight="1">
      <c r="U112" s="57"/>
      <c r="V112" s="57"/>
      <c r="W112" s="57"/>
      <c r="X112" s="57"/>
    </row>
    <row r="113" spans="21:24" ht="21.6" customHeight="1">
      <c r="U113" s="57"/>
      <c r="V113" s="57"/>
      <c r="W113" s="57"/>
      <c r="X113" s="57"/>
    </row>
    <row r="114" spans="21:24" ht="21.6" customHeight="1">
      <c r="U114" s="57"/>
      <c r="V114" s="57"/>
      <c r="W114" s="57"/>
      <c r="X114" s="57"/>
    </row>
    <row r="115" spans="21:24" ht="21.6" customHeight="1">
      <c r="U115" s="57"/>
      <c r="V115" s="57"/>
      <c r="W115" s="57"/>
      <c r="X115" s="57"/>
    </row>
    <row r="116" spans="21:24" ht="21.6" customHeight="1">
      <c r="U116" s="57"/>
      <c r="V116" s="57"/>
      <c r="W116" s="57"/>
      <c r="X116" s="57"/>
    </row>
    <row r="117" spans="21:24" ht="21.6" customHeight="1">
      <c r="U117" s="57"/>
      <c r="V117" s="57"/>
      <c r="W117" s="57"/>
      <c r="X117" s="57"/>
    </row>
    <row r="118" spans="21:24" ht="21.6" customHeight="1">
      <c r="U118" s="57"/>
      <c r="V118" s="57"/>
      <c r="W118" s="57"/>
      <c r="X118" s="57"/>
    </row>
    <row r="119" spans="21:24" ht="21.6" customHeight="1">
      <c r="U119" s="57"/>
      <c r="V119" s="57"/>
      <c r="W119" s="57"/>
      <c r="X119" s="57"/>
    </row>
    <row r="120" spans="21:24" ht="21.6" customHeight="1">
      <c r="U120" s="57"/>
      <c r="V120" s="57"/>
      <c r="W120" s="57"/>
      <c r="X120" s="57"/>
    </row>
    <row r="121" spans="21:24" ht="21.6" customHeight="1">
      <c r="U121" s="57"/>
      <c r="V121" s="57"/>
      <c r="W121" s="57"/>
      <c r="X121" s="57"/>
    </row>
    <row r="122" spans="21:24" ht="21.6" customHeight="1">
      <c r="U122" s="57"/>
      <c r="V122" s="57"/>
      <c r="W122" s="57"/>
      <c r="X122" s="57"/>
    </row>
    <row r="123" spans="21:24" ht="21.6" customHeight="1">
      <c r="U123" s="57"/>
      <c r="V123" s="57"/>
      <c r="W123" s="57"/>
      <c r="X123" s="57"/>
    </row>
    <row r="124" spans="21:24" ht="21.6" customHeight="1">
      <c r="U124" s="57"/>
      <c r="V124" s="57"/>
      <c r="W124" s="57"/>
      <c r="X124" s="57"/>
    </row>
    <row r="125" spans="21:24" ht="21.6" customHeight="1">
      <c r="U125" s="57"/>
      <c r="V125" s="57"/>
      <c r="W125" s="57"/>
      <c r="X125" s="57"/>
    </row>
    <row r="126" spans="21:24" ht="21.6" customHeight="1">
      <c r="U126" s="57"/>
      <c r="V126" s="57"/>
      <c r="W126" s="57"/>
      <c r="X126" s="57"/>
    </row>
    <row r="127" spans="21:24" ht="21.6" customHeight="1">
      <c r="U127" s="57"/>
      <c r="V127" s="57"/>
      <c r="W127" s="57"/>
      <c r="X127" s="57"/>
    </row>
    <row r="128" spans="21:24" ht="21.6" customHeight="1">
      <c r="U128" s="57"/>
      <c r="V128" s="57"/>
      <c r="W128" s="57"/>
      <c r="X128" s="57"/>
    </row>
    <row r="129" spans="21:24" ht="21.6" customHeight="1">
      <c r="U129" s="57"/>
      <c r="V129" s="57"/>
      <c r="W129" s="57"/>
      <c r="X129" s="57"/>
    </row>
    <row r="130" spans="21:24" ht="21.6" customHeight="1">
      <c r="U130" s="57"/>
      <c r="V130" s="57"/>
      <c r="W130" s="57"/>
      <c r="X130" s="57"/>
    </row>
    <row r="131" spans="21:24" ht="21.6" customHeight="1">
      <c r="U131" s="57"/>
      <c r="V131" s="57"/>
      <c r="W131" s="57"/>
      <c r="X131" s="57"/>
    </row>
    <row r="132" spans="21:24" ht="21.6" customHeight="1">
      <c r="U132" s="57"/>
      <c r="V132" s="57"/>
      <c r="W132" s="57"/>
      <c r="X132" s="57"/>
    </row>
    <row r="133" spans="21:24" ht="21.6" customHeight="1">
      <c r="U133" s="57"/>
      <c r="V133" s="57"/>
      <c r="W133" s="57"/>
      <c r="X133" s="57"/>
    </row>
    <row r="134" spans="21:24" ht="21.6" customHeight="1">
      <c r="U134" s="57"/>
      <c r="V134" s="57"/>
      <c r="W134" s="57"/>
      <c r="X134" s="57"/>
    </row>
    <row r="135" spans="21:24" ht="21.6" customHeight="1">
      <c r="U135" s="57"/>
      <c r="V135" s="57"/>
      <c r="W135" s="57"/>
      <c r="X135" s="57"/>
    </row>
    <row r="136" spans="21:24" ht="21.6" customHeight="1">
      <c r="U136" s="57"/>
      <c r="V136" s="57"/>
      <c r="W136" s="57"/>
      <c r="X136" s="57"/>
    </row>
    <row r="137" spans="21:24" ht="21.6" customHeight="1">
      <c r="U137" s="57"/>
      <c r="V137" s="57"/>
      <c r="W137" s="57"/>
      <c r="X137" s="57"/>
    </row>
    <row r="138" spans="21:24" ht="21.6" customHeight="1">
      <c r="U138" s="57"/>
      <c r="V138" s="57"/>
      <c r="W138" s="57"/>
      <c r="X138" s="57"/>
    </row>
    <row r="139" spans="21:24" ht="21.6" customHeight="1">
      <c r="U139" s="57"/>
      <c r="V139" s="57"/>
      <c r="W139" s="57"/>
      <c r="X139" s="57"/>
    </row>
    <row r="140" spans="21:24" ht="21.6" customHeight="1">
      <c r="U140" s="57"/>
      <c r="V140" s="57"/>
      <c r="W140" s="57"/>
      <c r="X140" s="57"/>
    </row>
    <row r="141" spans="21:24" ht="21.6" customHeight="1">
      <c r="U141" s="57"/>
      <c r="V141" s="57"/>
      <c r="W141" s="57"/>
      <c r="X141" s="57"/>
    </row>
    <row r="142" spans="21:24" ht="21.6" customHeight="1">
      <c r="U142" s="57"/>
      <c r="V142" s="57"/>
      <c r="W142" s="57"/>
      <c r="X142" s="57"/>
    </row>
    <row r="143" spans="21:24" ht="21.6" customHeight="1">
      <c r="U143" s="57"/>
      <c r="V143" s="57"/>
      <c r="W143" s="57"/>
      <c r="X143" s="57"/>
    </row>
    <row r="144" spans="21:24" ht="21.6" customHeight="1">
      <c r="U144" s="57"/>
      <c r="V144" s="57"/>
      <c r="W144" s="57"/>
      <c r="X144" s="57"/>
    </row>
    <row r="145" spans="21:24" ht="21.6" customHeight="1">
      <c r="U145" s="57"/>
      <c r="V145" s="57"/>
      <c r="W145" s="57"/>
      <c r="X145" s="57"/>
    </row>
    <row r="146" spans="21:24" ht="21.6" customHeight="1">
      <c r="U146" s="57"/>
      <c r="V146" s="57"/>
      <c r="W146" s="57"/>
      <c r="X146" s="57"/>
    </row>
    <row r="147" spans="21:24" ht="21.6" customHeight="1">
      <c r="U147" s="57"/>
      <c r="V147" s="57"/>
      <c r="W147" s="57"/>
      <c r="X147" s="57"/>
    </row>
    <row r="148" spans="21:24" ht="21.6" customHeight="1">
      <c r="U148" s="57"/>
      <c r="V148" s="57"/>
      <c r="W148" s="57"/>
      <c r="X148" s="57"/>
    </row>
    <row r="149" spans="21:24" ht="21.6" customHeight="1">
      <c r="U149" s="57"/>
      <c r="V149" s="57"/>
      <c r="W149" s="57"/>
      <c r="X149" s="57"/>
    </row>
    <row r="150" spans="21:24" ht="21.6" customHeight="1">
      <c r="U150" s="57"/>
      <c r="V150" s="57"/>
      <c r="W150" s="57"/>
      <c r="X150" s="57"/>
    </row>
    <row r="151" spans="21:24" ht="21.6" customHeight="1">
      <c r="U151" s="57"/>
      <c r="V151" s="57"/>
      <c r="W151" s="57"/>
      <c r="X151" s="57"/>
    </row>
    <row r="152" spans="21:24" ht="21.6" customHeight="1">
      <c r="U152" s="57"/>
      <c r="V152" s="57"/>
      <c r="W152" s="57"/>
      <c r="X152" s="57"/>
    </row>
    <row r="153" spans="21:24" ht="21.6" customHeight="1">
      <c r="U153" s="57"/>
      <c r="V153" s="57"/>
      <c r="W153" s="57"/>
      <c r="X153" s="57"/>
    </row>
    <row r="154" spans="21:24" ht="21.6" customHeight="1">
      <c r="U154" s="57"/>
      <c r="V154" s="57"/>
      <c r="W154" s="57"/>
      <c r="X154" s="57"/>
    </row>
    <row r="155" spans="21:24" ht="21.6" customHeight="1">
      <c r="U155" s="57"/>
      <c r="V155" s="57"/>
      <c r="W155" s="57"/>
      <c r="X155" s="57"/>
    </row>
    <row r="156" spans="21:24" ht="21.6" customHeight="1">
      <c r="U156" s="57"/>
      <c r="V156" s="57"/>
      <c r="W156" s="57"/>
      <c r="X156" s="57"/>
    </row>
    <row r="157" spans="21:24" ht="21.6" customHeight="1">
      <c r="U157" s="57"/>
      <c r="V157" s="57"/>
      <c r="W157" s="57"/>
      <c r="X157" s="57"/>
    </row>
    <row r="158" spans="21:24" ht="21.6" customHeight="1">
      <c r="U158" s="57"/>
      <c r="V158" s="57"/>
      <c r="W158" s="57"/>
      <c r="X158" s="57"/>
    </row>
    <row r="159" spans="21:24" ht="21.6" customHeight="1">
      <c r="U159" s="57"/>
      <c r="V159" s="57"/>
      <c r="W159" s="57"/>
      <c r="X159" s="57"/>
    </row>
    <row r="160" spans="21:24" ht="21.6" customHeight="1">
      <c r="U160" s="57"/>
      <c r="V160" s="57"/>
      <c r="W160" s="57"/>
      <c r="X160" s="57"/>
    </row>
    <row r="161" spans="21:24" ht="21.6" customHeight="1">
      <c r="U161" s="57"/>
      <c r="V161" s="57"/>
      <c r="W161" s="57"/>
      <c r="X161" s="57"/>
    </row>
    <row r="162" spans="21:24" ht="21.6" customHeight="1">
      <c r="U162" s="57"/>
      <c r="V162" s="57"/>
      <c r="W162" s="57"/>
      <c r="X162" s="57"/>
    </row>
    <row r="163" spans="21:24" ht="21.6" customHeight="1">
      <c r="U163" s="57"/>
      <c r="V163" s="57"/>
      <c r="W163" s="57"/>
      <c r="X163" s="57"/>
    </row>
    <row r="164" spans="21:24" ht="21.6" customHeight="1">
      <c r="U164" s="57"/>
      <c r="V164" s="57"/>
      <c r="W164" s="57"/>
      <c r="X164" s="57"/>
    </row>
    <row r="165" spans="21:24" ht="21.6" customHeight="1">
      <c r="U165" s="57"/>
      <c r="V165" s="57"/>
      <c r="W165" s="57"/>
      <c r="X165" s="57"/>
    </row>
    <row r="166" spans="21:24" ht="21.6" customHeight="1">
      <c r="U166" s="57"/>
      <c r="V166" s="57"/>
      <c r="W166" s="57"/>
      <c r="X166" s="57"/>
    </row>
    <row r="167" spans="21:24" ht="21.6" customHeight="1">
      <c r="U167" s="57"/>
      <c r="V167" s="57"/>
      <c r="W167" s="57"/>
      <c r="X167" s="57"/>
    </row>
    <row r="168" spans="21:24" ht="21.6" customHeight="1">
      <c r="U168" s="57"/>
      <c r="V168" s="57"/>
      <c r="W168" s="57"/>
      <c r="X168" s="57"/>
    </row>
    <row r="169" spans="21:24" ht="21.6" customHeight="1">
      <c r="U169" s="57"/>
      <c r="V169" s="57"/>
      <c r="W169" s="57"/>
      <c r="X169" s="57"/>
    </row>
    <row r="170" spans="21:24" ht="21.6" customHeight="1">
      <c r="U170" s="57"/>
      <c r="V170" s="57"/>
      <c r="W170" s="57"/>
      <c r="X170" s="57"/>
    </row>
    <row r="171" spans="21:24" ht="21.6" customHeight="1">
      <c r="U171" s="57"/>
      <c r="V171" s="57"/>
      <c r="W171" s="57"/>
      <c r="X171" s="57"/>
    </row>
    <row r="172" spans="21:24" ht="21.6" customHeight="1">
      <c r="U172" s="57"/>
      <c r="V172" s="57"/>
      <c r="W172" s="57"/>
      <c r="X172" s="57"/>
    </row>
    <row r="173" spans="21:24" ht="21.6" customHeight="1">
      <c r="U173" s="57"/>
      <c r="V173" s="57"/>
      <c r="W173" s="57"/>
      <c r="X173" s="57"/>
    </row>
    <row r="174" spans="21:24" ht="21.6" customHeight="1">
      <c r="U174" s="57"/>
      <c r="V174" s="57"/>
      <c r="W174" s="57"/>
      <c r="X174" s="57"/>
    </row>
    <row r="175" spans="21:24" ht="21.6" customHeight="1">
      <c r="U175" s="57"/>
      <c r="V175" s="57"/>
      <c r="W175" s="57"/>
      <c r="X175" s="57"/>
    </row>
    <row r="176" spans="21:24" ht="21.6" customHeight="1">
      <c r="U176" s="57"/>
      <c r="V176" s="57"/>
      <c r="W176" s="57"/>
      <c r="X176" s="57"/>
    </row>
    <row r="177" spans="21:24" ht="21.6" customHeight="1">
      <c r="U177" s="57"/>
      <c r="V177" s="57"/>
      <c r="W177" s="57"/>
      <c r="X177" s="57"/>
    </row>
    <row r="178" spans="21:24" ht="21.6" customHeight="1">
      <c r="U178" s="57"/>
      <c r="V178" s="57"/>
      <c r="W178" s="57"/>
      <c r="X178" s="57"/>
    </row>
    <row r="179" spans="21:24" ht="21.6" customHeight="1">
      <c r="U179" s="57"/>
      <c r="V179" s="57"/>
      <c r="W179" s="57"/>
      <c r="X179" s="57"/>
    </row>
    <row r="180" spans="21:24" ht="21.6" customHeight="1">
      <c r="U180" s="57"/>
      <c r="V180" s="57"/>
      <c r="W180" s="57"/>
      <c r="X180" s="57"/>
    </row>
    <row r="181" spans="21:24" ht="21.6" customHeight="1">
      <c r="U181" s="57"/>
      <c r="V181" s="57"/>
      <c r="W181" s="57"/>
      <c r="X181" s="57"/>
    </row>
    <row r="182" spans="21:24" ht="21.6" customHeight="1">
      <c r="U182" s="57"/>
      <c r="V182" s="57"/>
      <c r="W182" s="57"/>
      <c r="X182" s="57"/>
    </row>
    <row r="183" spans="21:24" ht="21.6" customHeight="1">
      <c r="U183" s="57"/>
      <c r="V183" s="57"/>
      <c r="W183" s="57"/>
      <c r="X183" s="57"/>
    </row>
    <row r="184" spans="21:24" ht="21.6" customHeight="1">
      <c r="U184" s="57"/>
      <c r="V184" s="57"/>
      <c r="W184" s="57"/>
      <c r="X184" s="57"/>
    </row>
    <row r="185" spans="21:24" ht="21.6" customHeight="1">
      <c r="U185" s="57"/>
      <c r="V185" s="57"/>
      <c r="W185" s="57"/>
      <c r="X185" s="57"/>
    </row>
    <row r="186" spans="21:24" ht="21.6" customHeight="1">
      <c r="U186" s="57"/>
      <c r="V186" s="57"/>
      <c r="W186" s="57"/>
      <c r="X186" s="57"/>
    </row>
    <row r="187" spans="21:24" ht="21.6" customHeight="1">
      <c r="U187" s="57"/>
      <c r="V187" s="57"/>
      <c r="W187" s="57"/>
      <c r="X187" s="57"/>
    </row>
    <row r="188" spans="21:24" ht="21.6" customHeight="1">
      <c r="U188" s="57"/>
      <c r="V188" s="57"/>
      <c r="W188" s="57"/>
      <c r="X188" s="57"/>
    </row>
    <row r="189" spans="21:24" ht="21.6" customHeight="1">
      <c r="U189" s="57"/>
      <c r="V189" s="57"/>
      <c r="W189" s="57"/>
      <c r="X189" s="57"/>
    </row>
    <row r="190" spans="21:24" ht="21.6" customHeight="1">
      <c r="U190" s="57"/>
      <c r="V190" s="57"/>
      <c r="W190" s="57"/>
      <c r="X190" s="57"/>
    </row>
    <row r="191" spans="21:24" ht="21.6" customHeight="1">
      <c r="U191" s="57"/>
      <c r="V191" s="57"/>
      <c r="W191" s="57"/>
      <c r="X191" s="57"/>
    </row>
    <row r="192" spans="21:24" ht="21.6" customHeight="1">
      <c r="U192" s="57"/>
      <c r="V192" s="57"/>
      <c r="W192" s="57"/>
      <c r="X192" s="57"/>
    </row>
    <row r="193" spans="21:24" ht="21.6" customHeight="1">
      <c r="U193" s="57"/>
      <c r="V193" s="57"/>
      <c r="W193" s="57"/>
      <c r="X193" s="57"/>
    </row>
    <row r="194" spans="21:24" ht="21.6" customHeight="1">
      <c r="U194" s="57"/>
      <c r="V194" s="57"/>
      <c r="W194" s="57"/>
      <c r="X194" s="57"/>
    </row>
    <row r="195" spans="21:24" ht="21.6" customHeight="1">
      <c r="U195" s="57"/>
      <c r="V195" s="57"/>
      <c r="W195" s="57"/>
      <c r="X195" s="57"/>
    </row>
    <row r="196" spans="21:24" ht="21.6" customHeight="1">
      <c r="U196" s="57"/>
      <c r="V196" s="57"/>
      <c r="W196" s="57"/>
      <c r="X196" s="57"/>
    </row>
    <row r="197" spans="21:24" ht="21.6" customHeight="1">
      <c r="U197" s="57"/>
      <c r="V197" s="57"/>
      <c r="W197" s="57"/>
      <c r="X197" s="57"/>
    </row>
    <row r="198" spans="21:24" ht="21.6" customHeight="1">
      <c r="U198" s="57"/>
      <c r="V198" s="57"/>
      <c r="W198" s="57"/>
      <c r="X198" s="57"/>
    </row>
    <row r="199" spans="21:24" ht="21.6" customHeight="1">
      <c r="U199" s="57"/>
      <c r="V199" s="57"/>
      <c r="W199" s="57"/>
      <c r="X199" s="57"/>
    </row>
    <row r="200" spans="21:24" ht="21.6" customHeight="1">
      <c r="U200" s="57"/>
      <c r="V200" s="57"/>
      <c r="W200" s="57"/>
      <c r="X200" s="57"/>
    </row>
    <row r="201" spans="21:24" ht="21.6" customHeight="1">
      <c r="U201" s="57"/>
      <c r="V201" s="57"/>
      <c r="W201" s="57"/>
      <c r="X201" s="57"/>
    </row>
    <row r="202" spans="21:24" ht="21.6" customHeight="1">
      <c r="U202" s="57"/>
      <c r="V202" s="57"/>
      <c r="W202" s="57"/>
      <c r="X202" s="57"/>
    </row>
    <row r="203" spans="21:24" ht="21.6" customHeight="1">
      <c r="U203" s="57"/>
      <c r="V203" s="57"/>
      <c r="W203" s="57"/>
      <c r="X203" s="57"/>
    </row>
    <row r="204" spans="21:24" ht="21.6" customHeight="1">
      <c r="U204" s="57"/>
      <c r="V204" s="57"/>
      <c r="W204" s="57"/>
      <c r="X204" s="57"/>
    </row>
    <row r="205" spans="21:24" ht="21.6" customHeight="1">
      <c r="U205" s="57"/>
      <c r="V205" s="57"/>
      <c r="W205" s="57"/>
      <c r="X205" s="57"/>
    </row>
    <row r="206" spans="21:24" ht="21.6" customHeight="1">
      <c r="U206" s="57"/>
      <c r="V206" s="57"/>
      <c r="W206" s="57"/>
      <c r="X206" s="57"/>
    </row>
    <row r="207" spans="21:24" ht="21.6" customHeight="1">
      <c r="U207" s="57"/>
      <c r="V207" s="57"/>
      <c r="W207" s="57"/>
      <c r="X207" s="57"/>
    </row>
    <row r="208" spans="21:24" ht="21.6" customHeight="1">
      <c r="U208" s="57"/>
      <c r="V208" s="57"/>
      <c r="W208" s="57"/>
      <c r="X208" s="57"/>
    </row>
    <row r="209" spans="21:24" ht="21.6" customHeight="1">
      <c r="U209" s="57"/>
      <c r="V209" s="57"/>
      <c r="W209" s="57"/>
      <c r="X209" s="57"/>
    </row>
    <row r="210" spans="21:24" ht="21.6" customHeight="1">
      <c r="U210" s="57"/>
      <c r="V210" s="57"/>
      <c r="W210" s="57"/>
      <c r="X210" s="57"/>
    </row>
    <row r="211" spans="21:24" ht="21.6" customHeight="1">
      <c r="U211" s="57"/>
      <c r="V211" s="57"/>
      <c r="W211" s="57"/>
      <c r="X211" s="57"/>
    </row>
    <row r="212" spans="21:24" ht="21.6" customHeight="1">
      <c r="U212" s="57"/>
      <c r="V212" s="57"/>
      <c r="W212" s="57"/>
      <c r="X212" s="57"/>
    </row>
    <row r="213" spans="21:24" ht="21.6" customHeight="1">
      <c r="U213" s="57"/>
      <c r="V213" s="57"/>
      <c r="W213" s="57"/>
      <c r="X213" s="57"/>
    </row>
    <row r="214" spans="21:24" ht="21.6" customHeight="1">
      <c r="U214" s="57"/>
      <c r="V214" s="57"/>
      <c r="W214" s="57"/>
      <c r="X214" s="57"/>
    </row>
    <row r="215" spans="21:24" ht="21.6" customHeight="1">
      <c r="U215" s="57"/>
      <c r="V215" s="57"/>
      <c r="W215" s="57"/>
      <c r="X215" s="57"/>
    </row>
    <row r="216" spans="21:24" ht="21.6" customHeight="1">
      <c r="U216" s="57"/>
      <c r="V216" s="57"/>
      <c r="W216" s="57"/>
      <c r="X216" s="57"/>
    </row>
    <row r="217" spans="21:24" ht="21.6" customHeight="1">
      <c r="U217" s="57"/>
      <c r="V217" s="57"/>
      <c r="W217" s="57"/>
      <c r="X217" s="57"/>
    </row>
    <row r="218" spans="21:24" ht="21.6" customHeight="1">
      <c r="U218" s="57"/>
      <c r="V218" s="57"/>
      <c r="W218" s="57"/>
      <c r="X218" s="57"/>
    </row>
    <row r="219" spans="21:24" ht="21.6" customHeight="1">
      <c r="U219" s="57"/>
      <c r="V219" s="57"/>
      <c r="W219" s="57"/>
      <c r="X219" s="57"/>
    </row>
    <row r="220" spans="21:24" ht="21.6" customHeight="1">
      <c r="U220" s="57"/>
      <c r="V220" s="57"/>
      <c r="W220" s="57"/>
      <c r="X220" s="57"/>
    </row>
    <row r="221" spans="21:24" ht="21.6" customHeight="1">
      <c r="U221" s="57"/>
      <c r="V221" s="57"/>
      <c r="W221" s="57"/>
      <c r="X221" s="57"/>
    </row>
    <row r="222" spans="21:24" ht="21.6" customHeight="1">
      <c r="U222" s="57"/>
      <c r="V222" s="57"/>
      <c r="W222" s="57"/>
      <c r="X222" s="57"/>
    </row>
    <row r="223" spans="21:24" ht="21.6" customHeight="1">
      <c r="U223" s="57"/>
      <c r="V223" s="57"/>
      <c r="W223" s="57"/>
      <c r="X223" s="57"/>
    </row>
    <row r="224" spans="21:24" ht="21.6" customHeight="1">
      <c r="U224" s="57"/>
      <c r="V224" s="57"/>
      <c r="W224" s="57"/>
      <c r="X224" s="57"/>
    </row>
    <row r="225" spans="21:24" ht="21.6" customHeight="1">
      <c r="U225" s="57"/>
      <c r="V225" s="57"/>
      <c r="W225" s="57"/>
      <c r="X225" s="57"/>
    </row>
    <row r="226" spans="21:24" ht="21.6" customHeight="1">
      <c r="U226" s="57"/>
      <c r="V226" s="57"/>
      <c r="W226" s="57"/>
      <c r="X226" s="57"/>
    </row>
    <row r="227" spans="21:24" ht="21.6" customHeight="1">
      <c r="U227" s="57"/>
      <c r="V227" s="57"/>
      <c r="W227" s="57"/>
      <c r="X227" s="57"/>
    </row>
    <row r="228" spans="21:24" ht="21.6" customHeight="1">
      <c r="U228" s="57"/>
      <c r="V228" s="57"/>
      <c r="W228" s="57"/>
      <c r="X228" s="57"/>
    </row>
    <row r="229" spans="21:24" ht="21.6" customHeight="1">
      <c r="U229" s="57"/>
      <c r="V229" s="57"/>
      <c r="W229" s="57"/>
      <c r="X229" s="57"/>
    </row>
    <row r="230" spans="21:24" ht="21.6" customHeight="1">
      <c r="U230" s="57"/>
      <c r="V230" s="57"/>
      <c r="W230" s="57"/>
      <c r="X230" s="57"/>
    </row>
    <row r="231" spans="21:24" ht="21.6" customHeight="1">
      <c r="U231" s="57"/>
      <c r="V231" s="57"/>
      <c r="W231" s="57"/>
      <c r="X231" s="57"/>
    </row>
    <row r="232" spans="21:24" ht="21.6" customHeight="1">
      <c r="U232" s="57"/>
      <c r="V232" s="57"/>
      <c r="W232" s="57"/>
      <c r="X232" s="57"/>
    </row>
    <row r="233" spans="21:24" ht="21.6" customHeight="1">
      <c r="U233" s="57"/>
      <c r="V233" s="57"/>
      <c r="W233" s="57"/>
      <c r="X233" s="57"/>
    </row>
    <row r="234" spans="21:24" ht="21.6" customHeight="1">
      <c r="U234" s="57"/>
      <c r="V234" s="57"/>
      <c r="W234" s="57"/>
      <c r="X234" s="57"/>
    </row>
    <row r="235" spans="21:24" ht="21.6" customHeight="1">
      <c r="U235" s="57"/>
      <c r="V235" s="57"/>
      <c r="W235" s="57"/>
      <c r="X235" s="57"/>
    </row>
    <row r="236" spans="21:24" ht="21.6" customHeight="1">
      <c r="U236" s="57"/>
      <c r="V236" s="57"/>
      <c r="W236" s="57"/>
      <c r="X236" s="57"/>
    </row>
    <row r="237" spans="21:24" ht="21.6" customHeight="1">
      <c r="U237" s="57"/>
      <c r="V237" s="57"/>
      <c r="W237" s="57"/>
      <c r="X237" s="57"/>
    </row>
    <row r="238" spans="21:24" ht="21.6" customHeight="1">
      <c r="U238" s="57"/>
      <c r="V238" s="57"/>
      <c r="W238" s="57"/>
      <c r="X238" s="57"/>
    </row>
    <row r="239" spans="21:24" ht="21.6" customHeight="1">
      <c r="U239" s="57"/>
      <c r="V239" s="57"/>
      <c r="W239" s="57"/>
      <c r="X239" s="57"/>
    </row>
    <row r="240" spans="21:24" ht="21.6" customHeight="1">
      <c r="U240" s="57"/>
      <c r="V240" s="57"/>
      <c r="W240" s="57"/>
      <c r="X240" s="57"/>
    </row>
    <row r="241" spans="21:24" ht="21.6" customHeight="1">
      <c r="U241" s="57"/>
      <c r="V241" s="57"/>
      <c r="W241" s="57"/>
      <c r="X241" s="57"/>
    </row>
    <row r="242" spans="21:24" ht="21.6" customHeight="1">
      <c r="U242" s="57"/>
      <c r="V242" s="57"/>
      <c r="W242" s="57"/>
      <c r="X242" s="57"/>
    </row>
    <row r="243" spans="21:24" ht="21.6" customHeight="1">
      <c r="U243" s="57"/>
      <c r="V243" s="57"/>
      <c r="W243" s="57"/>
      <c r="X243" s="57"/>
    </row>
    <row r="244" spans="21:24" ht="21.6" customHeight="1">
      <c r="U244" s="57"/>
      <c r="V244" s="57"/>
      <c r="W244" s="57"/>
      <c r="X244" s="57"/>
    </row>
    <row r="245" spans="21:24" ht="21.6" customHeight="1">
      <c r="U245" s="57"/>
      <c r="V245" s="57"/>
      <c r="W245" s="57"/>
      <c r="X245" s="57"/>
    </row>
    <row r="246" spans="21:24" ht="21.6" customHeight="1">
      <c r="U246" s="57"/>
      <c r="V246" s="57"/>
      <c r="W246" s="57"/>
      <c r="X246" s="57"/>
    </row>
    <row r="247" spans="21:24" ht="21.6" customHeight="1">
      <c r="U247" s="57"/>
      <c r="V247" s="57"/>
      <c r="W247" s="57"/>
      <c r="X247" s="57"/>
    </row>
    <row r="248" spans="21:24" ht="21.6" customHeight="1">
      <c r="U248" s="57"/>
      <c r="V248" s="57"/>
      <c r="W248" s="57"/>
      <c r="X248" s="57"/>
    </row>
    <row r="249" spans="21:24" ht="21.6" customHeight="1">
      <c r="U249" s="57"/>
      <c r="V249" s="57"/>
      <c r="W249" s="57"/>
      <c r="X249" s="57"/>
    </row>
    <row r="250" spans="21:24" ht="21.6" customHeight="1">
      <c r="U250" s="57"/>
      <c r="V250" s="57"/>
      <c r="W250" s="57"/>
      <c r="X250" s="57"/>
    </row>
    <row r="251" spans="21:24" ht="21.6" customHeight="1">
      <c r="U251" s="57"/>
      <c r="V251" s="57"/>
      <c r="W251" s="57"/>
      <c r="X251" s="57"/>
    </row>
    <row r="252" spans="21:24" ht="21.6" customHeight="1">
      <c r="U252" s="57"/>
      <c r="V252" s="57"/>
      <c r="W252" s="57"/>
      <c r="X252" s="57"/>
    </row>
    <row r="253" spans="21:24" ht="21.6" customHeight="1">
      <c r="U253" s="57"/>
      <c r="V253" s="57"/>
      <c r="W253" s="57"/>
      <c r="X253" s="57"/>
    </row>
    <row r="254" spans="21:24" ht="21.6" customHeight="1">
      <c r="U254" s="57"/>
      <c r="V254" s="57"/>
      <c r="W254" s="57"/>
      <c r="X254" s="57"/>
    </row>
    <row r="255" spans="21:24" ht="21.6" customHeight="1">
      <c r="U255" s="57"/>
      <c r="V255" s="57"/>
      <c r="W255" s="57"/>
      <c r="X255" s="57"/>
    </row>
    <row r="256" spans="21:24" ht="21.6" customHeight="1">
      <c r="U256" s="57"/>
      <c r="V256" s="57"/>
      <c r="W256" s="57"/>
      <c r="X256" s="57"/>
    </row>
    <row r="257" spans="21:24" ht="21.6" customHeight="1">
      <c r="U257" s="57"/>
      <c r="V257" s="57"/>
      <c r="W257" s="57"/>
      <c r="X257" s="57"/>
    </row>
    <row r="258" spans="21:24" ht="21.6" customHeight="1">
      <c r="U258" s="57"/>
      <c r="V258" s="57"/>
      <c r="W258" s="57"/>
      <c r="X258" s="57"/>
    </row>
    <row r="259" spans="21:24" ht="21.6" customHeight="1">
      <c r="U259" s="57"/>
      <c r="V259" s="57"/>
      <c r="W259" s="57"/>
      <c r="X259" s="57"/>
    </row>
    <row r="260" spans="21:24" ht="21.6" customHeight="1">
      <c r="U260" s="57"/>
      <c r="V260" s="57"/>
      <c r="W260" s="57"/>
      <c r="X260" s="57"/>
    </row>
    <row r="261" spans="21:24" ht="21.6" customHeight="1">
      <c r="U261" s="57"/>
      <c r="V261" s="57"/>
      <c r="W261" s="57"/>
      <c r="X261" s="57"/>
    </row>
    <row r="262" spans="21:24" ht="21.6" customHeight="1">
      <c r="U262" s="57"/>
      <c r="V262" s="57"/>
      <c r="W262" s="57"/>
      <c r="X262" s="57"/>
    </row>
    <row r="263" spans="21:24" ht="21.6" customHeight="1">
      <c r="U263" s="57"/>
      <c r="V263" s="57"/>
      <c r="W263" s="57"/>
      <c r="X263" s="57"/>
    </row>
    <row r="264" spans="21:24" ht="21.6" customHeight="1">
      <c r="U264" s="57"/>
      <c r="V264" s="57"/>
      <c r="W264" s="57"/>
      <c r="X264" s="57"/>
    </row>
    <row r="265" spans="21:24" ht="21.6" customHeight="1">
      <c r="U265" s="57"/>
      <c r="V265" s="57"/>
      <c r="W265" s="57"/>
      <c r="X265" s="57"/>
    </row>
    <row r="266" spans="21:24" ht="21.6" customHeight="1">
      <c r="U266" s="57"/>
      <c r="V266" s="57"/>
      <c r="W266" s="57"/>
      <c r="X266" s="57"/>
    </row>
    <row r="267" spans="21:24" ht="21.6" customHeight="1">
      <c r="U267" s="57"/>
      <c r="V267" s="57"/>
      <c r="W267" s="57"/>
      <c r="X267" s="57"/>
    </row>
    <row r="268" spans="21:24" ht="21.6" customHeight="1">
      <c r="U268" s="57"/>
      <c r="V268" s="57"/>
      <c r="W268" s="57"/>
      <c r="X268" s="57"/>
    </row>
    <row r="269" spans="21:24" ht="21.6" customHeight="1">
      <c r="U269" s="57"/>
      <c r="V269" s="57"/>
      <c r="W269" s="57"/>
      <c r="X269" s="57"/>
    </row>
    <row r="270" spans="21:24" ht="21.6" customHeight="1">
      <c r="U270" s="57"/>
      <c r="V270" s="57"/>
      <c r="W270" s="57"/>
      <c r="X270" s="57"/>
    </row>
    <row r="271" spans="21:24" ht="21.6" customHeight="1">
      <c r="U271" s="57"/>
      <c r="V271" s="57"/>
      <c r="W271" s="57"/>
      <c r="X271" s="57"/>
    </row>
    <row r="272" spans="21:24" ht="21.6" customHeight="1">
      <c r="U272" s="57"/>
      <c r="V272" s="57"/>
      <c r="W272" s="57"/>
      <c r="X272" s="57"/>
    </row>
    <row r="273" spans="21:24" ht="21.6" customHeight="1">
      <c r="U273" s="57"/>
      <c r="V273" s="57"/>
      <c r="W273" s="57"/>
      <c r="X273" s="57"/>
    </row>
    <row r="274" spans="21:24" ht="21.6" customHeight="1">
      <c r="U274" s="57"/>
      <c r="V274" s="57"/>
      <c r="W274" s="57"/>
      <c r="X274" s="57"/>
    </row>
    <row r="275" spans="21:24" ht="21.6" customHeight="1">
      <c r="U275" s="57"/>
      <c r="V275" s="57"/>
      <c r="W275" s="57"/>
      <c r="X275" s="57"/>
    </row>
    <row r="276" spans="21:24" ht="21.6" customHeight="1">
      <c r="U276" s="57"/>
      <c r="V276" s="57"/>
      <c r="W276" s="57"/>
      <c r="X276" s="57"/>
    </row>
    <row r="277" spans="21:24" ht="21.6" customHeight="1">
      <c r="U277" s="57"/>
      <c r="V277" s="57"/>
      <c r="W277" s="57"/>
      <c r="X277" s="57"/>
    </row>
    <row r="278" spans="21:24" ht="21.6" customHeight="1">
      <c r="U278" s="57"/>
      <c r="V278" s="57"/>
      <c r="W278" s="57"/>
      <c r="X278" s="57"/>
    </row>
    <row r="279" spans="21:24" ht="21.6" customHeight="1">
      <c r="U279" s="57"/>
      <c r="V279" s="57"/>
      <c r="W279" s="57"/>
      <c r="X279" s="57"/>
    </row>
    <row r="280" spans="21:24" ht="21.6" customHeight="1">
      <c r="U280" s="57"/>
      <c r="V280" s="57"/>
      <c r="W280" s="57"/>
      <c r="X280" s="57"/>
    </row>
    <row r="281" spans="21:24" ht="21.6" customHeight="1">
      <c r="U281" s="57"/>
      <c r="V281" s="57"/>
      <c r="W281" s="57"/>
      <c r="X281" s="57"/>
    </row>
    <row r="282" spans="21:24" ht="21.6" customHeight="1">
      <c r="U282" s="57"/>
      <c r="V282" s="57"/>
      <c r="W282" s="57"/>
      <c r="X282" s="57"/>
    </row>
    <row r="283" spans="21:24" ht="21.6" customHeight="1">
      <c r="U283" s="57"/>
      <c r="V283" s="57"/>
      <c r="W283" s="57"/>
      <c r="X283" s="57"/>
    </row>
    <row r="284" spans="21:24" ht="21.6" customHeight="1">
      <c r="U284" s="57"/>
      <c r="V284" s="57"/>
      <c r="W284" s="57"/>
      <c r="X284" s="57"/>
    </row>
    <row r="285" spans="21:24" ht="21.6" customHeight="1">
      <c r="U285" s="57"/>
      <c r="V285" s="57"/>
      <c r="W285" s="57"/>
      <c r="X285" s="57"/>
    </row>
    <row r="286" spans="21:24" ht="21.6" customHeight="1">
      <c r="U286" s="57"/>
      <c r="V286" s="57"/>
      <c r="W286" s="57"/>
      <c r="X286" s="57"/>
    </row>
    <row r="287" spans="21:24" ht="21.6" customHeight="1">
      <c r="U287" s="57"/>
      <c r="V287" s="57"/>
      <c r="W287" s="57"/>
      <c r="X287" s="57"/>
    </row>
    <row r="288" spans="21:24" ht="21.6" customHeight="1">
      <c r="U288" s="57"/>
      <c r="V288" s="57"/>
      <c r="W288" s="57"/>
      <c r="X288" s="57"/>
    </row>
    <row r="289" spans="21:24" ht="21.6" customHeight="1">
      <c r="U289" s="57"/>
      <c r="V289" s="57"/>
      <c r="W289" s="57"/>
      <c r="X289" s="57"/>
    </row>
    <row r="290" spans="21:24" ht="21.6" customHeight="1">
      <c r="U290" s="57"/>
      <c r="V290" s="57"/>
      <c r="W290" s="57"/>
      <c r="X290" s="57"/>
    </row>
    <row r="291" spans="21:24" ht="21.6" customHeight="1">
      <c r="U291" s="57"/>
      <c r="V291" s="57"/>
      <c r="W291" s="57"/>
      <c r="X291" s="57"/>
    </row>
    <row r="292" spans="21:24" ht="21.6" customHeight="1">
      <c r="U292" s="57"/>
      <c r="V292" s="57"/>
      <c r="W292" s="57"/>
      <c r="X292" s="57"/>
    </row>
    <row r="293" spans="21:24" ht="21.6" customHeight="1">
      <c r="U293" s="57"/>
      <c r="V293" s="57"/>
      <c r="W293" s="57"/>
      <c r="X293" s="57"/>
    </row>
    <row r="294" spans="21:24" ht="21.6" customHeight="1">
      <c r="U294" s="57"/>
      <c r="V294" s="57"/>
      <c r="W294" s="57"/>
      <c r="X294" s="57"/>
    </row>
    <row r="295" spans="21:24" ht="21.6" customHeight="1">
      <c r="U295" s="57"/>
      <c r="V295" s="57"/>
      <c r="W295" s="57"/>
      <c r="X295" s="57"/>
    </row>
    <row r="296" spans="21:24" ht="21.6" customHeight="1">
      <c r="U296" s="57"/>
      <c r="V296" s="57"/>
      <c r="W296" s="57"/>
      <c r="X296" s="57"/>
    </row>
    <row r="297" spans="21:24" ht="21.6" customHeight="1">
      <c r="U297" s="57"/>
      <c r="V297" s="57"/>
      <c r="W297" s="57"/>
      <c r="X297" s="57"/>
    </row>
    <row r="298" spans="21:24" ht="21.6" customHeight="1">
      <c r="U298" s="57"/>
      <c r="V298" s="57"/>
      <c r="W298" s="57"/>
      <c r="X298" s="57"/>
    </row>
    <row r="299" spans="21:24" ht="21.6" customHeight="1">
      <c r="U299" s="57"/>
      <c r="V299" s="57"/>
      <c r="W299" s="57"/>
      <c r="X299" s="57"/>
    </row>
    <row r="300" spans="21:24" ht="21.6" customHeight="1">
      <c r="U300" s="57"/>
      <c r="V300" s="57"/>
      <c r="W300" s="57"/>
      <c r="X300" s="57"/>
    </row>
    <row r="301" spans="21:24" ht="21.6" customHeight="1">
      <c r="U301" s="57"/>
      <c r="V301" s="57"/>
      <c r="W301" s="57"/>
      <c r="X301" s="57"/>
    </row>
    <row r="302" spans="21:24" ht="21.6" customHeight="1">
      <c r="U302" s="57"/>
      <c r="V302" s="57"/>
      <c r="W302" s="57"/>
      <c r="X302" s="57"/>
    </row>
    <row r="303" spans="21:24" ht="21.6" customHeight="1">
      <c r="U303" s="57"/>
      <c r="V303" s="57"/>
      <c r="W303" s="57"/>
      <c r="X303" s="57"/>
    </row>
    <row r="304" spans="21:24" ht="21.6" customHeight="1">
      <c r="U304" s="57"/>
      <c r="V304" s="57"/>
      <c r="W304" s="57"/>
      <c r="X304" s="57"/>
    </row>
    <row r="305" spans="21:24" ht="21.6" customHeight="1">
      <c r="U305" s="57"/>
      <c r="V305" s="57"/>
      <c r="W305" s="57"/>
      <c r="X305" s="57"/>
    </row>
    <row r="306" spans="21:24" ht="21.6" customHeight="1">
      <c r="U306" s="57"/>
      <c r="V306" s="57"/>
      <c r="W306" s="57"/>
      <c r="X306" s="57"/>
    </row>
    <row r="307" spans="21:24" ht="21.6" customHeight="1">
      <c r="U307" s="57"/>
      <c r="V307" s="57"/>
      <c r="W307" s="57"/>
      <c r="X307" s="57"/>
    </row>
    <row r="308" spans="21:24" ht="21.6" customHeight="1">
      <c r="U308" s="57"/>
      <c r="V308" s="57"/>
      <c r="W308" s="57"/>
      <c r="X308" s="57"/>
    </row>
    <row r="309" spans="21:24" ht="21.6" customHeight="1">
      <c r="U309" s="57"/>
      <c r="V309" s="57"/>
      <c r="W309" s="57"/>
      <c r="X309" s="57"/>
    </row>
    <row r="310" spans="21:24" ht="21.6" customHeight="1">
      <c r="U310" s="57"/>
      <c r="V310" s="57"/>
      <c r="W310" s="57"/>
      <c r="X310" s="57"/>
    </row>
    <row r="311" spans="21:24" ht="21.6" customHeight="1">
      <c r="U311" s="57"/>
      <c r="V311" s="57"/>
      <c r="W311" s="57"/>
      <c r="X311" s="57"/>
    </row>
    <row r="312" spans="21:24" ht="21.6" customHeight="1">
      <c r="U312" s="57"/>
      <c r="V312" s="57"/>
      <c r="W312" s="57"/>
      <c r="X312" s="57"/>
    </row>
    <row r="313" spans="21:24" ht="21.6" customHeight="1">
      <c r="U313" s="57"/>
      <c r="V313" s="57"/>
      <c r="W313" s="57"/>
      <c r="X313" s="57"/>
    </row>
    <row r="314" spans="21:24" ht="21.6" customHeight="1">
      <c r="U314" s="57"/>
      <c r="V314" s="57"/>
      <c r="W314" s="57"/>
      <c r="X314" s="57"/>
    </row>
    <row r="315" spans="21:24" ht="21.6" customHeight="1">
      <c r="U315" s="57"/>
      <c r="V315" s="57"/>
      <c r="W315" s="57"/>
      <c r="X315" s="57"/>
    </row>
    <row r="316" spans="21:24" ht="21.6" customHeight="1">
      <c r="U316" s="57"/>
      <c r="V316" s="57"/>
      <c r="W316" s="57"/>
      <c r="X316" s="57"/>
    </row>
    <row r="317" spans="21:24" ht="21.6" customHeight="1">
      <c r="U317" s="57"/>
      <c r="V317" s="57"/>
      <c r="W317" s="57"/>
      <c r="X317" s="57"/>
    </row>
    <row r="318" spans="21:24" ht="21.6" customHeight="1">
      <c r="U318" s="57"/>
      <c r="V318" s="57"/>
      <c r="W318" s="57"/>
      <c r="X318" s="57"/>
    </row>
    <row r="319" spans="21:24" ht="21.6" customHeight="1">
      <c r="U319" s="57"/>
      <c r="V319" s="57"/>
      <c r="W319" s="57"/>
      <c r="X319" s="57"/>
    </row>
    <row r="320" spans="21:24" ht="21.6" customHeight="1">
      <c r="U320" s="57"/>
      <c r="V320" s="57"/>
      <c r="W320" s="57"/>
      <c r="X320" s="57"/>
    </row>
    <row r="321" spans="21:24" ht="21.6" customHeight="1">
      <c r="U321" s="57"/>
      <c r="V321" s="57"/>
      <c r="W321" s="57"/>
      <c r="X321" s="57"/>
    </row>
    <row r="322" spans="21:24" ht="21.6" customHeight="1">
      <c r="U322" s="57"/>
      <c r="V322" s="57"/>
      <c r="W322" s="57"/>
      <c r="X322" s="57"/>
    </row>
    <row r="323" spans="21:24" ht="21.6" customHeight="1">
      <c r="U323" s="57"/>
      <c r="V323" s="57"/>
      <c r="W323" s="57"/>
      <c r="X323" s="57"/>
    </row>
    <row r="324" spans="21:24" ht="21.6" customHeight="1">
      <c r="U324" s="57"/>
      <c r="V324" s="57"/>
      <c r="W324" s="57"/>
      <c r="X324" s="57"/>
    </row>
    <row r="325" spans="21:24" ht="21.6" customHeight="1">
      <c r="U325" s="57"/>
      <c r="V325" s="57"/>
      <c r="W325" s="57"/>
      <c r="X325" s="57"/>
    </row>
    <row r="326" spans="21:24" ht="21.6" customHeight="1">
      <c r="U326" s="57"/>
      <c r="V326" s="57"/>
      <c r="W326" s="57"/>
      <c r="X326" s="57"/>
    </row>
    <row r="327" spans="21:24" ht="21.6" customHeight="1">
      <c r="U327" s="57"/>
      <c r="V327" s="57"/>
      <c r="W327" s="57"/>
      <c r="X327" s="57"/>
    </row>
    <row r="328" spans="21:24" ht="21.6" customHeight="1">
      <c r="U328" s="57"/>
      <c r="V328" s="57"/>
      <c r="W328" s="57"/>
      <c r="X328" s="57"/>
    </row>
    <row r="329" spans="21:24" ht="21.6" customHeight="1">
      <c r="U329" s="57"/>
      <c r="V329" s="57"/>
      <c r="W329" s="57"/>
      <c r="X329" s="57"/>
    </row>
    <row r="330" spans="21:24" ht="21.6" customHeight="1">
      <c r="U330" s="57"/>
      <c r="V330" s="57"/>
      <c r="W330" s="57"/>
      <c r="X330" s="57"/>
    </row>
    <row r="331" spans="21:24" ht="21.6" customHeight="1">
      <c r="U331" s="57"/>
      <c r="V331" s="57"/>
      <c r="W331" s="57"/>
      <c r="X331" s="57"/>
    </row>
    <row r="332" spans="21:24" ht="21.6" customHeight="1">
      <c r="U332" s="57"/>
      <c r="V332" s="57"/>
      <c r="W332" s="57"/>
      <c r="X332" s="57"/>
    </row>
    <row r="333" spans="21:24" ht="21.6" customHeight="1">
      <c r="U333" s="57"/>
      <c r="V333" s="57"/>
      <c r="W333" s="57"/>
      <c r="X333" s="57"/>
    </row>
    <row r="334" spans="21:24" ht="21.6" customHeight="1">
      <c r="U334" s="57"/>
      <c r="V334" s="57"/>
      <c r="W334" s="57"/>
      <c r="X334" s="57"/>
    </row>
    <row r="335" spans="21:24" ht="21.6" customHeight="1">
      <c r="U335" s="57"/>
      <c r="V335" s="57"/>
      <c r="W335" s="57"/>
      <c r="X335" s="57"/>
    </row>
    <row r="336" spans="21:24" ht="21.6" customHeight="1">
      <c r="U336" s="57"/>
      <c r="V336" s="57"/>
      <c r="W336" s="57"/>
      <c r="X336" s="57"/>
    </row>
    <row r="337" spans="21:24" ht="21.6" customHeight="1">
      <c r="U337" s="57"/>
      <c r="V337" s="57"/>
      <c r="W337" s="57"/>
      <c r="X337" s="57"/>
    </row>
    <row r="338" spans="21:24" ht="21.6" customHeight="1">
      <c r="U338" s="57"/>
      <c r="V338" s="57"/>
      <c r="W338" s="57"/>
      <c r="X338" s="57"/>
    </row>
    <row r="339" spans="21:24" ht="21.6" customHeight="1">
      <c r="U339" s="57"/>
      <c r="V339" s="57"/>
      <c r="W339" s="57"/>
      <c r="X339" s="57"/>
    </row>
    <row r="340" spans="21:24" ht="21.6" customHeight="1">
      <c r="U340" s="57"/>
      <c r="V340" s="57"/>
      <c r="W340" s="57"/>
      <c r="X340" s="57"/>
    </row>
    <row r="341" spans="21:24" ht="21.6" customHeight="1">
      <c r="U341" s="57"/>
      <c r="V341" s="57"/>
      <c r="W341" s="57"/>
      <c r="X341" s="57"/>
    </row>
    <row r="342" spans="21:24" ht="21.6" customHeight="1">
      <c r="U342" s="57"/>
      <c r="V342" s="57"/>
      <c r="W342" s="57"/>
      <c r="X342" s="57"/>
    </row>
    <row r="343" spans="21:24" ht="21.6" customHeight="1">
      <c r="U343" s="57"/>
      <c r="V343" s="57"/>
      <c r="W343" s="57"/>
      <c r="X343" s="57"/>
    </row>
    <row r="344" spans="21:24" ht="21.6" customHeight="1">
      <c r="U344" s="57"/>
      <c r="V344" s="57"/>
      <c r="W344" s="57"/>
      <c r="X344" s="57"/>
    </row>
    <row r="345" spans="21:24" ht="21.6" customHeight="1">
      <c r="U345" s="57"/>
      <c r="V345" s="57"/>
      <c r="W345" s="57"/>
      <c r="X345" s="57"/>
    </row>
    <row r="346" spans="21:24" ht="21.6" customHeight="1">
      <c r="U346" s="57"/>
      <c r="V346" s="57"/>
      <c r="W346" s="57"/>
      <c r="X346" s="57"/>
    </row>
    <row r="347" spans="21:24" ht="21.6" customHeight="1">
      <c r="U347" s="57"/>
      <c r="V347" s="57"/>
      <c r="W347" s="57"/>
      <c r="X347" s="57"/>
    </row>
    <row r="348" spans="21:24" ht="21.6" customHeight="1">
      <c r="U348" s="57"/>
      <c r="V348" s="57"/>
      <c r="W348" s="57"/>
      <c r="X348" s="57"/>
    </row>
    <row r="349" spans="21:24" ht="21.6" customHeight="1">
      <c r="U349" s="57"/>
      <c r="V349" s="57"/>
      <c r="W349" s="57"/>
      <c r="X349" s="57"/>
    </row>
    <row r="350" spans="21:24" ht="21.6" customHeight="1">
      <c r="U350" s="57"/>
      <c r="V350" s="57"/>
      <c r="W350" s="57"/>
      <c r="X350" s="57"/>
    </row>
    <row r="351" spans="21:24" ht="21.6" customHeight="1">
      <c r="U351" s="57"/>
      <c r="V351" s="57"/>
      <c r="W351" s="57"/>
      <c r="X351" s="57"/>
    </row>
    <row r="352" spans="21:24" ht="21.6" customHeight="1">
      <c r="U352" s="57"/>
      <c r="V352" s="57"/>
      <c r="W352" s="57"/>
      <c r="X352" s="57"/>
    </row>
    <row r="353" spans="21:24" ht="21.6" customHeight="1">
      <c r="U353" s="57"/>
      <c r="V353" s="57"/>
      <c r="W353" s="57"/>
      <c r="X353" s="57"/>
    </row>
    <row r="354" spans="21:24" ht="21.6" customHeight="1">
      <c r="U354" s="57"/>
      <c r="V354" s="57"/>
      <c r="W354" s="57"/>
      <c r="X354" s="57"/>
    </row>
    <row r="355" spans="21:24" ht="21.6" customHeight="1">
      <c r="U355" s="57"/>
      <c r="V355" s="57"/>
      <c r="W355" s="57"/>
      <c r="X355" s="57"/>
    </row>
    <row r="356" spans="21:24" ht="21.6" customHeight="1">
      <c r="U356" s="57"/>
      <c r="V356" s="57"/>
      <c r="W356" s="57"/>
      <c r="X356" s="57"/>
    </row>
    <row r="357" spans="21:24" ht="21.6" customHeight="1">
      <c r="U357" s="57"/>
      <c r="V357" s="57"/>
      <c r="W357" s="57"/>
      <c r="X357" s="57"/>
    </row>
    <row r="358" spans="21:24" ht="21.6" customHeight="1">
      <c r="U358" s="57"/>
      <c r="V358" s="57"/>
      <c r="W358" s="57"/>
      <c r="X358" s="57"/>
    </row>
    <row r="359" spans="21:24" ht="21.6" customHeight="1">
      <c r="U359" s="57"/>
      <c r="V359" s="57"/>
      <c r="W359" s="57"/>
      <c r="X359" s="57"/>
    </row>
    <row r="360" spans="21:24" ht="21.6" customHeight="1">
      <c r="U360" s="57"/>
      <c r="V360" s="57"/>
      <c r="W360" s="57"/>
      <c r="X360" s="57"/>
    </row>
    <row r="361" spans="21:24" ht="21.6" customHeight="1">
      <c r="U361" s="57"/>
      <c r="V361" s="57"/>
      <c r="W361" s="57"/>
      <c r="X361" s="57"/>
    </row>
    <row r="362" spans="21:24" ht="21.6" customHeight="1">
      <c r="U362" s="57"/>
      <c r="V362" s="57"/>
      <c r="W362" s="57"/>
      <c r="X362" s="57"/>
    </row>
    <row r="363" spans="21:24" ht="21.6" customHeight="1">
      <c r="U363" s="57"/>
      <c r="V363" s="57"/>
      <c r="W363" s="57"/>
      <c r="X363" s="57"/>
    </row>
    <row r="364" spans="21:24" ht="21.6" customHeight="1">
      <c r="U364" s="57"/>
      <c r="V364" s="57"/>
      <c r="W364" s="57"/>
      <c r="X364" s="57"/>
    </row>
    <row r="365" spans="21:24" ht="21.6" customHeight="1">
      <c r="U365" s="57"/>
      <c r="V365" s="57"/>
      <c r="W365" s="57"/>
      <c r="X365" s="57"/>
    </row>
    <row r="366" spans="21:24" ht="21.6" customHeight="1">
      <c r="U366" s="57"/>
      <c r="V366" s="57"/>
      <c r="W366" s="57"/>
      <c r="X366" s="57"/>
    </row>
    <row r="367" spans="21:24" ht="21.6" customHeight="1">
      <c r="U367" s="57"/>
      <c r="V367" s="57"/>
      <c r="W367" s="57"/>
      <c r="X367" s="57"/>
    </row>
    <row r="368" spans="21:24" ht="21.6" customHeight="1">
      <c r="U368" s="57"/>
      <c r="V368" s="57"/>
      <c r="W368" s="57"/>
      <c r="X368" s="57"/>
    </row>
    <row r="369" spans="21:24" ht="21.6" customHeight="1">
      <c r="U369" s="57"/>
      <c r="V369" s="57"/>
      <c r="W369" s="57"/>
      <c r="X369" s="57"/>
    </row>
    <row r="370" spans="21:24" ht="21.6" customHeight="1">
      <c r="U370" s="57"/>
      <c r="V370" s="57"/>
      <c r="W370" s="57"/>
      <c r="X370" s="57"/>
    </row>
    <row r="371" spans="21:24" ht="21.6" customHeight="1">
      <c r="U371" s="57"/>
      <c r="V371" s="57"/>
      <c r="W371" s="57"/>
      <c r="X371" s="57"/>
    </row>
    <row r="372" spans="21:24" ht="21.6" customHeight="1">
      <c r="U372" s="57"/>
      <c r="V372" s="57"/>
      <c r="W372" s="57"/>
      <c r="X372" s="57"/>
    </row>
    <row r="373" spans="21:24" ht="21.6" customHeight="1">
      <c r="U373" s="57"/>
      <c r="V373" s="57"/>
      <c r="W373" s="57"/>
      <c r="X373" s="57"/>
    </row>
    <row r="374" spans="21:24" ht="21.6" customHeight="1">
      <c r="U374" s="57"/>
      <c r="V374" s="57"/>
      <c r="W374" s="57"/>
      <c r="X374" s="57"/>
    </row>
    <row r="375" spans="21:24" ht="21.6" customHeight="1">
      <c r="U375" s="57"/>
      <c r="V375" s="57"/>
      <c r="W375" s="57"/>
      <c r="X375" s="57"/>
    </row>
    <row r="376" spans="21:24" ht="21.6" customHeight="1">
      <c r="U376" s="57"/>
      <c r="V376" s="57"/>
      <c r="W376" s="57"/>
      <c r="X376" s="57"/>
    </row>
    <row r="377" spans="21:24" ht="21.6" customHeight="1">
      <c r="U377" s="57"/>
      <c r="V377" s="57"/>
      <c r="W377" s="57"/>
      <c r="X377" s="57"/>
    </row>
    <row r="378" spans="21:24" ht="21.6" customHeight="1">
      <c r="U378" s="57"/>
      <c r="V378" s="57"/>
      <c r="W378" s="57"/>
      <c r="X378" s="57"/>
    </row>
    <row r="379" spans="21:24" ht="21.6" customHeight="1">
      <c r="U379" s="57"/>
      <c r="V379" s="57"/>
      <c r="W379" s="57"/>
      <c r="X379" s="57"/>
    </row>
    <row r="380" spans="21:24" ht="21.6" customHeight="1">
      <c r="U380" s="57"/>
      <c r="V380" s="57"/>
      <c r="W380" s="57"/>
      <c r="X380" s="57"/>
    </row>
    <row r="381" spans="21:24" ht="21.6" customHeight="1">
      <c r="U381" s="57"/>
      <c r="V381" s="57"/>
      <c r="W381" s="57"/>
      <c r="X381" s="57"/>
    </row>
    <row r="382" spans="21:24" ht="21.6" customHeight="1">
      <c r="U382" s="57"/>
      <c r="V382" s="57"/>
      <c r="W382" s="57"/>
      <c r="X382" s="57"/>
    </row>
    <row r="383" spans="21:24" ht="21.6" customHeight="1">
      <c r="U383" s="57"/>
      <c r="V383" s="57"/>
      <c r="W383" s="57"/>
      <c r="X383" s="57"/>
    </row>
    <row r="384" spans="21:24" ht="21.6" customHeight="1">
      <c r="U384" s="57"/>
      <c r="V384" s="57"/>
      <c r="W384" s="57"/>
      <c r="X384" s="57"/>
    </row>
    <row r="385" spans="21:24" ht="21.6" customHeight="1">
      <c r="U385" s="57"/>
      <c r="V385" s="57"/>
      <c r="W385" s="57"/>
      <c r="X385" s="57"/>
    </row>
    <row r="386" spans="21:24" ht="21.6" customHeight="1">
      <c r="U386" s="57"/>
      <c r="V386" s="57"/>
      <c r="W386" s="57"/>
      <c r="X386" s="57"/>
    </row>
    <row r="387" spans="21:24" ht="21.6" customHeight="1">
      <c r="U387" s="57"/>
      <c r="V387" s="57"/>
      <c r="W387" s="57"/>
      <c r="X387" s="57"/>
    </row>
    <row r="388" spans="21:24" ht="21.6" customHeight="1">
      <c r="U388" s="57"/>
      <c r="V388" s="57"/>
      <c r="W388" s="57"/>
      <c r="X388" s="57"/>
    </row>
    <row r="389" spans="21:24" ht="21.6" customHeight="1">
      <c r="U389" s="57"/>
      <c r="V389" s="57"/>
      <c r="W389" s="57"/>
      <c r="X389" s="57"/>
    </row>
    <row r="390" spans="21:24" ht="21.6" customHeight="1">
      <c r="U390" s="57"/>
      <c r="V390" s="57"/>
      <c r="W390" s="57"/>
      <c r="X390" s="57"/>
    </row>
    <row r="391" spans="21:24" ht="21.6" customHeight="1">
      <c r="U391" s="57"/>
      <c r="V391" s="57"/>
      <c r="W391" s="57"/>
      <c r="X391" s="57"/>
    </row>
    <row r="392" spans="21:24" ht="21.6" customHeight="1">
      <c r="U392" s="57"/>
      <c r="V392" s="57"/>
      <c r="W392" s="57"/>
      <c r="X392" s="57"/>
    </row>
    <row r="393" spans="21:24" ht="21.6" customHeight="1">
      <c r="U393" s="57"/>
      <c r="V393" s="57"/>
      <c r="W393" s="57"/>
      <c r="X393" s="57"/>
    </row>
    <row r="394" spans="21:24" ht="21.6" customHeight="1">
      <c r="U394" s="57"/>
      <c r="V394" s="57"/>
      <c r="W394" s="57"/>
      <c r="X394" s="57"/>
    </row>
    <row r="395" spans="21:24" ht="21.6" customHeight="1">
      <c r="U395" s="57"/>
      <c r="V395" s="57"/>
      <c r="W395" s="57"/>
      <c r="X395" s="57"/>
    </row>
    <row r="396" spans="21:24" ht="21.6" customHeight="1">
      <c r="U396" s="57"/>
      <c r="V396" s="57"/>
      <c r="W396" s="57"/>
      <c r="X396" s="57"/>
    </row>
    <row r="397" spans="21:24" ht="21.6" customHeight="1">
      <c r="U397" s="57"/>
      <c r="V397" s="57"/>
      <c r="W397" s="57"/>
      <c r="X397" s="57"/>
    </row>
    <row r="398" spans="21:24" ht="21.6" customHeight="1">
      <c r="U398" s="57"/>
      <c r="V398" s="57"/>
      <c r="W398" s="57"/>
      <c r="X398" s="57"/>
    </row>
    <row r="399" spans="21:24" ht="21.6" customHeight="1">
      <c r="U399" s="57"/>
      <c r="V399" s="57"/>
      <c r="W399" s="57"/>
      <c r="X399" s="57"/>
    </row>
    <row r="400" spans="21:24" ht="21.6" customHeight="1">
      <c r="U400" s="57"/>
      <c r="V400" s="57"/>
      <c r="W400" s="57"/>
      <c r="X400" s="57"/>
    </row>
    <row r="401" spans="21:24" ht="21.6" customHeight="1">
      <c r="U401" s="57"/>
      <c r="V401" s="57"/>
      <c r="W401" s="57"/>
      <c r="X401" s="57"/>
    </row>
    <row r="402" spans="21:24" ht="21.6" customHeight="1">
      <c r="U402" s="57"/>
      <c r="V402" s="57"/>
      <c r="W402" s="57"/>
      <c r="X402" s="57"/>
    </row>
    <row r="403" spans="21:24" ht="21.6" customHeight="1">
      <c r="U403" s="57"/>
      <c r="V403" s="57"/>
      <c r="W403" s="57"/>
      <c r="X403" s="57"/>
    </row>
    <row r="404" spans="21:24" ht="21.6" customHeight="1">
      <c r="U404" s="57"/>
      <c r="V404" s="57"/>
      <c r="W404" s="57"/>
      <c r="X404" s="57"/>
    </row>
    <row r="405" spans="21:24" ht="21.6" customHeight="1">
      <c r="U405" s="57"/>
      <c r="V405" s="57"/>
      <c r="W405" s="57"/>
      <c r="X405" s="57"/>
    </row>
    <row r="406" spans="21:24" ht="21.6" customHeight="1">
      <c r="U406" s="57"/>
      <c r="V406" s="57"/>
      <c r="W406" s="57"/>
      <c r="X406" s="57"/>
    </row>
    <row r="407" spans="21:24" ht="21.6" customHeight="1">
      <c r="U407" s="57"/>
      <c r="V407" s="57"/>
      <c r="W407" s="57"/>
      <c r="X407" s="57"/>
    </row>
    <row r="408" spans="21:24" ht="21.6" customHeight="1">
      <c r="U408" s="57"/>
      <c r="V408" s="57"/>
      <c r="W408" s="57"/>
      <c r="X408" s="57"/>
    </row>
    <row r="409" spans="21:24" ht="21.6" customHeight="1">
      <c r="U409" s="57"/>
      <c r="V409" s="57"/>
      <c r="W409" s="57"/>
      <c r="X409" s="57"/>
    </row>
    <row r="410" spans="21:24" ht="21.6" customHeight="1">
      <c r="U410" s="57"/>
      <c r="V410" s="57"/>
      <c r="W410" s="57"/>
      <c r="X410" s="57"/>
    </row>
    <row r="411" spans="21:24" ht="21.6" customHeight="1">
      <c r="U411" s="57"/>
      <c r="V411" s="57"/>
      <c r="W411" s="57"/>
      <c r="X411" s="57"/>
    </row>
    <row r="412" spans="21:24" ht="21.6" customHeight="1">
      <c r="U412" s="57"/>
      <c r="V412" s="57"/>
      <c r="W412" s="57"/>
      <c r="X412" s="57"/>
    </row>
    <row r="413" spans="21:24" ht="21.6" customHeight="1">
      <c r="U413" s="57"/>
      <c r="V413" s="57"/>
      <c r="W413" s="57"/>
      <c r="X413" s="57"/>
    </row>
    <row r="414" spans="21:24" ht="21.6" customHeight="1">
      <c r="U414" s="57"/>
      <c r="V414" s="57"/>
      <c r="W414" s="57"/>
      <c r="X414" s="57"/>
    </row>
    <row r="415" spans="21:24" ht="21.6" customHeight="1">
      <c r="U415" s="57"/>
      <c r="V415" s="57"/>
      <c r="W415" s="57"/>
      <c r="X415" s="57"/>
    </row>
    <row r="416" spans="21:24" ht="21.6" customHeight="1">
      <c r="U416" s="57"/>
      <c r="V416" s="57"/>
      <c r="W416" s="57"/>
      <c r="X416" s="57"/>
    </row>
    <row r="417" spans="21:24" ht="21.6" customHeight="1">
      <c r="U417" s="57"/>
      <c r="V417" s="57"/>
      <c r="W417" s="57"/>
      <c r="X417" s="57"/>
    </row>
    <row r="418" spans="21:24" ht="21.6" customHeight="1">
      <c r="U418" s="57"/>
      <c r="V418" s="57"/>
      <c r="W418" s="57"/>
      <c r="X418" s="57"/>
    </row>
    <row r="419" spans="21:24" ht="21.6" customHeight="1">
      <c r="U419" s="57"/>
      <c r="V419" s="57"/>
      <c r="W419" s="57"/>
      <c r="X419" s="57"/>
    </row>
    <row r="420" spans="21:24" ht="21.6" customHeight="1">
      <c r="U420" s="57"/>
      <c r="V420" s="57"/>
      <c r="W420" s="57"/>
      <c r="X420" s="57"/>
    </row>
    <row r="421" spans="21:24" ht="21.6" customHeight="1">
      <c r="U421" s="57"/>
      <c r="V421" s="57"/>
      <c r="W421" s="57"/>
      <c r="X421" s="57"/>
    </row>
    <row r="422" spans="21:24" ht="21.6" customHeight="1">
      <c r="U422" s="57"/>
      <c r="V422" s="57"/>
      <c r="W422" s="57"/>
      <c r="X422" s="57"/>
    </row>
    <row r="423" spans="21:24" ht="21.6" customHeight="1">
      <c r="U423" s="57"/>
      <c r="V423" s="57"/>
      <c r="W423" s="57"/>
      <c r="X423" s="57"/>
    </row>
    <row r="424" spans="21:24" ht="21.6" customHeight="1">
      <c r="U424" s="57"/>
      <c r="V424" s="57"/>
      <c r="W424" s="57"/>
      <c r="X424" s="57"/>
    </row>
    <row r="425" spans="21:24" ht="21.6" customHeight="1">
      <c r="U425" s="57"/>
      <c r="V425" s="57"/>
      <c r="W425" s="57"/>
      <c r="X425" s="57"/>
    </row>
    <row r="426" spans="21:24" ht="21.6" customHeight="1">
      <c r="U426" s="57"/>
      <c r="V426" s="57"/>
      <c r="W426" s="57"/>
      <c r="X426" s="57"/>
    </row>
    <row r="427" spans="21:24" ht="21.6" customHeight="1">
      <c r="U427" s="57"/>
      <c r="V427" s="57"/>
      <c r="W427" s="57"/>
      <c r="X427" s="57"/>
    </row>
    <row r="428" spans="21:24" ht="21.6" customHeight="1">
      <c r="U428" s="57"/>
      <c r="V428" s="57"/>
      <c r="W428" s="57"/>
      <c r="X428" s="57"/>
    </row>
    <row r="429" spans="21:24" ht="21.6" customHeight="1">
      <c r="U429" s="57"/>
      <c r="V429" s="57"/>
      <c r="W429" s="57"/>
      <c r="X429" s="57"/>
    </row>
    <row r="430" spans="21:24" ht="21.6" customHeight="1">
      <c r="U430" s="57"/>
      <c r="V430" s="57"/>
      <c r="W430" s="57"/>
      <c r="X430" s="57"/>
    </row>
    <row r="431" spans="21:24" ht="21.6" customHeight="1">
      <c r="U431" s="57"/>
      <c r="V431" s="57"/>
      <c r="W431" s="57"/>
      <c r="X431" s="57"/>
    </row>
    <row r="432" spans="21:24" ht="21.6" customHeight="1">
      <c r="U432" s="57"/>
      <c r="V432" s="57"/>
      <c r="W432" s="57"/>
      <c r="X432" s="57"/>
    </row>
    <row r="433" spans="21:24" ht="21.6" customHeight="1">
      <c r="U433" s="57"/>
      <c r="V433" s="57"/>
      <c r="W433" s="57"/>
      <c r="X433" s="57"/>
    </row>
    <row r="434" spans="21:24" ht="21.6" customHeight="1">
      <c r="U434" s="57"/>
      <c r="V434" s="57"/>
      <c r="W434" s="57"/>
      <c r="X434" s="57"/>
    </row>
    <row r="435" spans="21:24" ht="21.6" customHeight="1">
      <c r="U435" s="57"/>
      <c r="V435" s="57"/>
      <c r="W435" s="57"/>
      <c r="X435" s="57"/>
    </row>
    <row r="436" spans="21:24" ht="21.6" customHeight="1">
      <c r="U436" s="57"/>
      <c r="V436" s="57"/>
      <c r="W436" s="57"/>
      <c r="X436" s="57"/>
    </row>
    <row r="437" spans="21:24" ht="21.6" customHeight="1">
      <c r="U437" s="57"/>
      <c r="V437" s="57"/>
      <c r="W437" s="57"/>
      <c r="X437" s="57"/>
    </row>
    <row r="438" spans="21:24" ht="21.6" customHeight="1">
      <c r="U438" s="57"/>
      <c r="V438" s="57"/>
      <c r="W438" s="57"/>
      <c r="X438" s="57"/>
    </row>
    <row r="439" spans="21:24" ht="21.6" customHeight="1">
      <c r="U439" s="57"/>
      <c r="V439" s="57"/>
      <c r="W439" s="57"/>
      <c r="X439" s="57"/>
    </row>
    <row r="440" spans="21:24" ht="21.6" customHeight="1">
      <c r="U440" s="57"/>
      <c r="V440" s="57"/>
      <c r="W440" s="57"/>
      <c r="X440" s="57"/>
    </row>
    <row r="441" spans="21:24" ht="21.6" customHeight="1">
      <c r="U441" s="57"/>
      <c r="V441" s="57"/>
      <c r="W441" s="57"/>
      <c r="X441" s="57"/>
    </row>
    <row r="442" spans="21:24" ht="21.6" customHeight="1">
      <c r="U442" s="57"/>
      <c r="V442" s="57"/>
      <c r="W442" s="57"/>
      <c r="X442" s="57"/>
    </row>
    <row r="443" spans="21:24" ht="21.6" customHeight="1">
      <c r="U443" s="57"/>
      <c r="V443" s="57"/>
      <c r="W443" s="57"/>
      <c r="X443" s="57"/>
    </row>
    <row r="444" spans="21:24" ht="21.6" customHeight="1">
      <c r="U444" s="57"/>
      <c r="V444" s="57"/>
      <c r="W444" s="57"/>
      <c r="X444" s="57"/>
    </row>
    <row r="445" spans="21:24" ht="21.6" customHeight="1">
      <c r="U445" s="57"/>
      <c r="V445" s="57"/>
      <c r="W445" s="57"/>
      <c r="X445" s="57"/>
    </row>
    <row r="446" spans="21:24" ht="21.6" customHeight="1">
      <c r="U446" s="57"/>
      <c r="V446" s="57"/>
      <c r="W446" s="57"/>
      <c r="X446" s="57"/>
    </row>
    <row r="447" spans="21:24" ht="21.6" customHeight="1">
      <c r="U447" s="57"/>
      <c r="V447" s="57"/>
      <c r="W447" s="57"/>
      <c r="X447" s="57"/>
    </row>
    <row r="448" spans="21:24" ht="21.6" customHeight="1">
      <c r="U448" s="57"/>
      <c r="V448" s="57"/>
      <c r="W448" s="57"/>
      <c r="X448" s="57"/>
    </row>
    <row r="449" spans="21:24" ht="21.6" customHeight="1">
      <c r="U449" s="57"/>
      <c r="V449" s="57"/>
      <c r="W449" s="57"/>
      <c r="X449" s="57"/>
    </row>
    <row r="450" spans="21:24" ht="21.6" customHeight="1">
      <c r="U450" s="57"/>
      <c r="V450" s="57"/>
      <c r="W450" s="57"/>
      <c r="X450" s="57"/>
    </row>
    <row r="451" spans="21:24" ht="21.6" customHeight="1">
      <c r="U451" s="57"/>
      <c r="V451" s="57"/>
      <c r="W451" s="57"/>
      <c r="X451" s="57"/>
    </row>
    <row r="452" spans="21:24" ht="21.6" customHeight="1">
      <c r="U452" s="57"/>
      <c r="V452" s="57"/>
      <c r="W452" s="57"/>
      <c r="X452" s="57"/>
    </row>
    <row r="453" spans="21:24" ht="21.6" customHeight="1">
      <c r="U453" s="57"/>
      <c r="V453" s="57"/>
      <c r="W453" s="57"/>
      <c r="X453" s="57"/>
    </row>
    <row r="454" spans="21:24" ht="21.6" customHeight="1">
      <c r="U454" s="57"/>
      <c r="V454" s="57"/>
      <c r="W454" s="57"/>
      <c r="X454" s="57"/>
    </row>
    <row r="455" spans="21:24" ht="21.6" customHeight="1">
      <c r="U455" s="57"/>
      <c r="V455" s="57"/>
      <c r="W455" s="57"/>
      <c r="X455" s="57"/>
    </row>
    <row r="456" spans="21:24" ht="21.6" customHeight="1">
      <c r="U456" s="57"/>
      <c r="V456" s="57"/>
      <c r="W456" s="57"/>
      <c r="X456" s="57"/>
    </row>
    <row r="457" spans="21:24" ht="21.6" customHeight="1">
      <c r="U457" s="57"/>
      <c r="V457" s="57"/>
      <c r="W457" s="57"/>
      <c r="X457" s="57"/>
    </row>
    <row r="458" spans="21:24" ht="21.6" customHeight="1">
      <c r="U458" s="57"/>
      <c r="V458" s="57"/>
      <c r="W458" s="57"/>
      <c r="X458" s="57"/>
    </row>
    <row r="459" spans="21:24" ht="21.6" customHeight="1">
      <c r="U459" s="57"/>
      <c r="V459" s="57"/>
      <c r="W459" s="57"/>
      <c r="X459" s="57"/>
    </row>
    <row r="460" spans="21:24" ht="21.6" customHeight="1">
      <c r="U460" s="57"/>
      <c r="V460" s="57"/>
      <c r="W460" s="57"/>
      <c r="X460" s="57"/>
    </row>
    <row r="461" spans="21:24" ht="21.6" customHeight="1">
      <c r="U461" s="57"/>
      <c r="V461" s="57"/>
      <c r="W461" s="57"/>
      <c r="X461" s="57"/>
    </row>
    <row r="462" spans="21:24" ht="21.6" customHeight="1">
      <c r="U462" s="57"/>
      <c r="V462" s="57"/>
      <c r="W462" s="57"/>
      <c r="X462" s="57"/>
    </row>
    <row r="463" spans="21:24" ht="21.6" customHeight="1">
      <c r="U463" s="57"/>
      <c r="V463" s="57"/>
      <c r="W463" s="57"/>
      <c r="X463" s="57"/>
    </row>
    <row r="464" spans="21:24" ht="21.6" customHeight="1">
      <c r="U464" s="57"/>
      <c r="V464" s="57"/>
      <c r="W464" s="57"/>
      <c r="X464" s="57"/>
    </row>
    <row r="465" spans="21:24" ht="21.6" customHeight="1">
      <c r="U465" s="57"/>
      <c r="V465" s="57"/>
      <c r="W465" s="57"/>
      <c r="X465" s="57"/>
    </row>
    <row r="466" spans="21:24" ht="21.6" customHeight="1">
      <c r="U466" s="57"/>
      <c r="V466" s="57"/>
      <c r="W466" s="57"/>
      <c r="X466" s="57"/>
    </row>
    <row r="467" spans="21:24" ht="21.6" customHeight="1">
      <c r="U467" s="57"/>
      <c r="V467" s="57"/>
      <c r="W467" s="57"/>
      <c r="X467" s="57"/>
    </row>
    <row r="468" spans="21:24" ht="21.6" customHeight="1">
      <c r="U468" s="57"/>
      <c r="V468" s="57"/>
      <c r="W468" s="57"/>
      <c r="X468" s="57"/>
    </row>
    <row r="469" spans="21:24" ht="21.6" customHeight="1">
      <c r="U469" s="57"/>
      <c r="V469" s="57"/>
      <c r="W469" s="57"/>
      <c r="X469" s="57"/>
    </row>
    <row r="470" spans="21:24" ht="21.6" customHeight="1">
      <c r="U470" s="57"/>
      <c r="V470" s="57"/>
      <c r="W470" s="57"/>
      <c r="X470" s="57"/>
    </row>
    <row r="471" spans="21:24" ht="21.6" customHeight="1">
      <c r="U471" s="57"/>
      <c r="V471" s="57"/>
      <c r="W471" s="57"/>
      <c r="X471" s="57"/>
    </row>
    <row r="472" spans="21:24" ht="21.6" customHeight="1">
      <c r="U472" s="57"/>
      <c r="V472" s="57"/>
      <c r="W472" s="57"/>
      <c r="X472" s="57"/>
    </row>
    <row r="473" spans="21:24" ht="21.6" customHeight="1">
      <c r="U473" s="57"/>
      <c r="V473" s="57"/>
      <c r="W473" s="57"/>
      <c r="X473" s="57"/>
    </row>
    <row r="474" spans="21:24" ht="21.6" customHeight="1">
      <c r="U474" s="57"/>
      <c r="V474" s="57"/>
      <c r="W474" s="57"/>
      <c r="X474" s="57"/>
    </row>
    <row r="475" spans="21:24" ht="21.6" customHeight="1">
      <c r="U475" s="57"/>
      <c r="V475" s="57"/>
      <c r="W475" s="57"/>
      <c r="X475" s="57"/>
    </row>
    <row r="476" spans="21:24" ht="21.6" customHeight="1">
      <c r="U476" s="57"/>
      <c r="V476" s="57"/>
      <c r="W476" s="57"/>
      <c r="X476" s="57"/>
    </row>
    <row r="477" spans="21:24" ht="21.6" customHeight="1">
      <c r="U477" s="57"/>
      <c r="V477" s="57"/>
      <c r="W477" s="57"/>
      <c r="X477" s="57"/>
    </row>
    <row r="478" spans="21:24" ht="21.6" customHeight="1">
      <c r="U478" s="57"/>
      <c r="V478" s="57"/>
      <c r="W478" s="57"/>
      <c r="X478" s="57"/>
    </row>
    <row r="479" spans="21:24" ht="21.6" customHeight="1">
      <c r="U479" s="57"/>
      <c r="V479" s="57"/>
      <c r="W479" s="57"/>
      <c r="X479" s="57"/>
    </row>
    <row r="480" spans="21:24" ht="21.6" customHeight="1">
      <c r="U480" s="57"/>
      <c r="V480" s="57"/>
      <c r="W480" s="57"/>
      <c r="X480" s="57"/>
    </row>
    <row r="481" spans="21:24" ht="21.6" customHeight="1">
      <c r="U481" s="57"/>
      <c r="V481" s="57"/>
      <c r="W481" s="57"/>
      <c r="X481" s="57"/>
    </row>
    <row r="482" spans="21:24" ht="21.6" customHeight="1">
      <c r="U482" s="57"/>
      <c r="V482" s="57"/>
      <c r="W482" s="57"/>
      <c r="X482" s="57"/>
    </row>
    <row r="483" spans="21:24" ht="21.6" customHeight="1">
      <c r="U483" s="57"/>
      <c r="V483" s="57"/>
      <c r="W483" s="57"/>
      <c r="X483" s="57"/>
    </row>
    <row r="484" spans="21:24" ht="21.6" customHeight="1">
      <c r="U484" s="57"/>
      <c r="V484" s="57"/>
      <c r="W484" s="57"/>
      <c r="X484" s="57"/>
    </row>
    <row r="485" spans="21:24" ht="21.6" customHeight="1">
      <c r="U485" s="57"/>
      <c r="V485" s="57"/>
      <c r="W485" s="57"/>
      <c r="X485" s="57"/>
    </row>
    <row r="486" spans="21:24" ht="21.6" customHeight="1">
      <c r="U486" s="57"/>
      <c r="V486" s="57"/>
      <c r="W486" s="57"/>
      <c r="X486" s="57"/>
    </row>
    <row r="487" spans="21:24" ht="21.6" customHeight="1">
      <c r="U487" s="57"/>
      <c r="V487" s="57"/>
      <c r="W487" s="57"/>
      <c r="X487" s="57"/>
    </row>
    <row r="488" spans="21:24" ht="21.6" customHeight="1">
      <c r="U488" s="57"/>
      <c r="V488" s="57"/>
      <c r="W488" s="57"/>
      <c r="X488" s="57"/>
    </row>
    <row r="489" spans="21:24" ht="21.6" customHeight="1">
      <c r="U489" s="57"/>
      <c r="V489" s="57"/>
      <c r="W489" s="57"/>
      <c r="X489" s="57"/>
    </row>
    <row r="490" spans="21:24" ht="21.6" customHeight="1">
      <c r="U490" s="57"/>
      <c r="V490" s="57"/>
      <c r="W490" s="57"/>
      <c r="X490" s="57"/>
    </row>
    <row r="491" spans="21:24" ht="21.6" customHeight="1">
      <c r="U491" s="57"/>
      <c r="V491" s="57"/>
      <c r="W491" s="57"/>
      <c r="X491" s="57"/>
    </row>
    <row r="492" spans="21:24" ht="21.6" customHeight="1">
      <c r="U492" s="57"/>
      <c r="V492" s="57"/>
      <c r="W492" s="57"/>
      <c r="X492" s="57"/>
    </row>
    <row r="493" spans="21:24" ht="21.6" customHeight="1">
      <c r="U493" s="57"/>
      <c r="V493" s="57"/>
      <c r="W493" s="57"/>
      <c r="X493" s="57"/>
    </row>
    <row r="494" spans="21:24" ht="21.6" customHeight="1">
      <c r="U494" s="57"/>
      <c r="V494" s="57"/>
      <c r="W494" s="57"/>
      <c r="X494" s="57"/>
    </row>
    <row r="495" spans="21:24" ht="21.6" customHeight="1">
      <c r="U495" s="57"/>
      <c r="V495" s="57"/>
      <c r="W495" s="57"/>
      <c r="X495" s="57"/>
    </row>
    <row r="496" spans="21:24" ht="21.6" customHeight="1">
      <c r="U496" s="57"/>
      <c r="V496" s="57"/>
      <c r="W496" s="57"/>
      <c r="X496" s="57"/>
    </row>
    <row r="497" spans="21:24" ht="21.6" customHeight="1">
      <c r="U497" s="57"/>
      <c r="V497" s="57"/>
      <c r="W497" s="57"/>
      <c r="X497" s="57"/>
    </row>
    <row r="498" spans="21:24" ht="21.6" customHeight="1">
      <c r="U498" s="57"/>
      <c r="V498" s="57"/>
      <c r="W498" s="57"/>
      <c r="X498" s="57"/>
    </row>
    <row r="499" spans="21:24" ht="21.6" customHeight="1">
      <c r="U499" s="57"/>
      <c r="V499" s="57"/>
      <c r="W499" s="57"/>
      <c r="X499" s="57"/>
    </row>
    <row r="500" spans="21:24" ht="21.6" customHeight="1">
      <c r="U500" s="57"/>
      <c r="V500" s="57"/>
      <c r="W500" s="57"/>
      <c r="X500" s="57"/>
    </row>
    <row r="501" spans="21:24" ht="21.6" customHeight="1">
      <c r="U501" s="57"/>
      <c r="V501" s="57"/>
      <c r="W501" s="57"/>
      <c r="X501" s="57"/>
    </row>
    <row r="502" spans="21:24" ht="21.6" customHeight="1">
      <c r="U502" s="57"/>
      <c r="V502" s="57"/>
      <c r="W502" s="57"/>
      <c r="X502" s="57"/>
    </row>
    <row r="503" spans="21:24" ht="21.6" customHeight="1">
      <c r="U503" s="57"/>
      <c r="V503" s="57"/>
      <c r="W503" s="57"/>
      <c r="X503" s="57"/>
    </row>
    <row r="504" spans="21:24" ht="21.6" customHeight="1">
      <c r="U504" s="57"/>
      <c r="V504" s="57"/>
      <c r="W504" s="57"/>
      <c r="X504" s="57"/>
    </row>
    <row r="505" spans="21:24" ht="21.6" customHeight="1">
      <c r="U505" s="57"/>
      <c r="V505" s="57"/>
      <c r="W505" s="57"/>
      <c r="X505" s="57"/>
    </row>
    <row r="506" spans="21:24" ht="21.6" customHeight="1">
      <c r="U506" s="57"/>
      <c r="V506" s="57"/>
      <c r="W506" s="57"/>
      <c r="X506" s="57"/>
    </row>
    <row r="507" spans="21:24" ht="21.6" customHeight="1">
      <c r="U507" s="57"/>
      <c r="V507" s="57"/>
      <c r="W507" s="57"/>
      <c r="X507" s="57"/>
    </row>
    <row r="508" spans="21:24" ht="21.6" customHeight="1">
      <c r="U508" s="57"/>
      <c r="V508" s="57"/>
      <c r="W508" s="57"/>
      <c r="X508" s="57"/>
    </row>
    <row r="509" spans="21:24" ht="21.6" customHeight="1">
      <c r="U509" s="57"/>
      <c r="V509" s="57"/>
      <c r="W509" s="57"/>
      <c r="X509" s="57"/>
    </row>
    <row r="510" spans="21:24" ht="21.6" customHeight="1">
      <c r="U510" s="57"/>
      <c r="V510" s="57"/>
      <c r="W510" s="57"/>
      <c r="X510" s="57"/>
    </row>
    <row r="511" spans="21:24" ht="21.6" customHeight="1">
      <c r="U511" s="57"/>
      <c r="V511" s="57"/>
      <c r="W511" s="57"/>
      <c r="X511" s="57"/>
    </row>
    <row r="512" spans="21:24" ht="21.6" customHeight="1">
      <c r="U512" s="57"/>
      <c r="V512" s="57"/>
      <c r="W512" s="57"/>
      <c r="X512" s="57"/>
    </row>
    <row r="513" spans="21:24" ht="21.6" customHeight="1">
      <c r="U513" s="57"/>
      <c r="V513" s="57"/>
      <c r="W513" s="57"/>
      <c r="X513" s="57"/>
    </row>
    <row r="514" spans="21:24" ht="21.6" customHeight="1">
      <c r="U514" s="57"/>
      <c r="V514" s="57"/>
      <c r="W514" s="57"/>
      <c r="X514" s="57"/>
    </row>
    <row r="515" spans="21:24" ht="21.6" customHeight="1">
      <c r="U515" s="57"/>
      <c r="V515" s="57"/>
      <c r="W515" s="57"/>
      <c r="X515" s="57"/>
    </row>
    <row r="516" spans="21:24" ht="21.6" customHeight="1">
      <c r="U516" s="57"/>
      <c r="V516" s="57"/>
      <c r="W516" s="57"/>
      <c r="X516" s="57"/>
    </row>
    <row r="517" spans="21:24" ht="21.6" customHeight="1">
      <c r="U517" s="57"/>
      <c r="V517" s="57"/>
      <c r="W517" s="57"/>
      <c r="X517" s="57"/>
    </row>
    <row r="518" spans="21:24" ht="21.6" customHeight="1">
      <c r="U518" s="57"/>
      <c r="V518" s="57"/>
      <c r="W518" s="57"/>
      <c r="X518" s="57"/>
    </row>
    <row r="519" spans="21:24" ht="21.6" customHeight="1">
      <c r="U519" s="57"/>
      <c r="V519" s="57"/>
      <c r="W519" s="57"/>
      <c r="X519" s="57"/>
    </row>
    <row r="520" spans="21:24" ht="21.6" customHeight="1">
      <c r="U520" s="57"/>
      <c r="V520" s="57"/>
      <c r="W520" s="57"/>
      <c r="X520" s="57"/>
    </row>
    <row r="521" spans="21:24" ht="21.6" customHeight="1">
      <c r="U521" s="57"/>
      <c r="V521" s="57"/>
      <c r="W521" s="57"/>
      <c r="X521" s="57"/>
    </row>
    <row r="522" spans="21:24" ht="21.6" customHeight="1">
      <c r="U522" s="57"/>
      <c r="V522" s="57"/>
      <c r="W522" s="57"/>
      <c r="X522" s="57"/>
    </row>
    <row r="523" spans="21:24" ht="21.6" customHeight="1">
      <c r="U523" s="57"/>
      <c r="V523" s="57"/>
      <c r="W523" s="57"/>
      <c r="X523" s="57"/>
    </row>
    <row r="524" spans="21:24" ht="21.6" customHeight="1">
      <c r="U524" s="57"/>
      <c r="V524" s="57"/>
      <c r="W524" s="57"/>
      <c r="X524" s="57"/>
    </row>
    <row r="525" spans="21:24" ht="21.6" customHeight="1">
      <c r="U525" s="57"/>
      <c r="V525" s="57"/>
      <c r="W525" s="57"/>
      <c r="X525" s="57"/>
    </row>
    <row r="526" spans="21:24" ht="21.6" customHeight="1">
      <c r="U526" s="57"/>
      <c r="V526" s="57"/>
      <c r="W526" s="57"/>
      <c r="X526" s="57"/>
    </row>
    <row r="527" spans="21:24" ht="21.6" customHeight="1">
      <c r="U527" s="57"/>
      <c r="V527" s="57"/>
      <c r="W527" s="57"/>
      <c r="X527" s="57"/>
    </row>
    <row r="528" spans="21:24" ht="21.6" customHeight="1">
      <c r="U528" s="57"/>
      <c r="V528" s="57"/>
      <c r="W528" s="57"/>
      <c r="X528" s="57"/>
    </row>
    <row r="529" spans="21:24" ht="21.6" customHeight="1">
      <c r="U529" s="57"/>
      <c r="V529" s="57"/>
      <c r="W529" s="57"/>
      <c r="X529" s="57"/>
    </row>
    <row r="530" spans="21:24" ht="21.6" customHeight="1">
      <c r="U530" s="57"/>
      <c r="V530" s="57"/>
      <c r="W530" s="57"/>
      <c r="X530" s="57"/>
    </row>
    <row r="531" spans="21:24" ht="21.6" customHeight="1">
      <c r="U531" s="57"/>
      <c r="V531" s="57"/>
      <c r="W531" s="57"/>
      <c r="X531" s="57"/>
    </row>
    <row r="532" spans="21:24" ht="21.6" customHeight="1">
      <c r="U532" s="57"/>
      <c r="V532" s="57"/>
      <c r="W532" s="57"/>
      <c r="X532" s="57"/>
    </row>
    <row r="533" spans="21:24" ht="21.6" customHeight="1">
      <c r="U533" s="57"/>
      <c r="V533" s="57"/>
      <c r="W533" s="57"/>
      <c r="X533" s="57"/>
    </row>
    <row r="534" spans="21:24" ht="21.6" customHeight="1">
      <c r="U534" s="57"/>
      <c r="V534" s="57"/>
      <c r="W534" s="57"/>
      <c r="X534" s="57"/>
    </row>
    <row r="535" spans="21:24" ht="21.6" customHeight="1">
      <c r="U535" s="57"/>
      <c r="V535" s="57"/>
      <c r="W535" s="57"/>
      <c r="X535" s="57"/>
    </row>
    <row r="536" spans="21:24" ht="21.6" customHeight="1">
      <c r="U536" s="57"/>
      <c r="V536" s="57"/>
      <c r="W536" s="57"/>
      <c r="X536" s="57"/>
    </row>
    <row r="537" spans="21:24" ht="21.6" customHeight="1">
      <c r="U537" s="57"/>
      <c r="V537" s="57"/>
      <c r="W537" s="57"/>
      <c r="X537" s="57"/>
    </row>
    <row r="538" spans="21:24" ht="21.6" customHeight="1">
      <c r="U538" s="57"/>
      <c r="V538" s="57"/>
      <c r="W538" s="57"/>
      <c r="X538" s="57"/>
    </row>
    <row r="539" spans="21:24" ht="21.6" customHeight="1">
      <c r="U539" s="57"/>
      <c r="V539" s="57"/>
      <c r="W539" s="57"/>
      <c r="X539" s="57"/>
    </row>
    <row r="540" spans="21:24" ht="21.6" customHeight="1">
      <c r="U540" s="57"/>
      <c r="V540" s="57"/>
      <c r="W540" s="57"/>
      <c r="X540" s="57"/>
    </row>
    <row r="541" spans="21:24" ht="21.6" customHeight="1">
      <c r="U541" s="57"/>
      <c r="V541" s="57"/>
      <c r="W541" s="57"/>
      <c r="X541" s="57"/>
    </row>
    <row r="542" spans="21:24" ht="21.6" customHeight="1">
      <c r="U542" s="57"/>
      <c r="V542" s="57"/>
      <c r="W542" s="57"/>
      <c r="X542" s="57"/>
    </row>
    <row r="543" spans="21:24" ht="21.6" customHeight="1">
      <c r="U543" s="57"/>
      <c r="V543" s="57"/>
      <c r="W543" s="57"/>
      <c r="X543" s="57"/>
    </row>
    <row r="544" spans="21:24" ht="21.6" customHeight="1">
      <c r="U544" s="57"/>
      <c r="V544" s="57"/>
      <c r="W544" s="57"/>
      <c r="X544" s="57"/>
    </row>
    <row r="545" spans="21:24" ht="21.6" customHeight="1">
      <c r="U545" s="57"/>
      <c r="V545" s="57"/>
      <c r="W545" s="57"/>
      <c r="X545" s="57"/>
    </row>
    <row r="546" spans="21:24" ht="21.6" customHeight="1">
      <c r="U546" s="57"/>
      <c r="V546" s="57"/>
      <c r="W546" s="57"/>
      <c r="X546" s="57"/>
    </row>
    <row r="547" spans="21:24" ht="21.6" customHeight="1">
      <c r="U547" s="57"/>
      <c r="V547" s="57"/>
      <c r="W547" s="57"/>
      <c r="X547" s="57"/>
    </row>
    <row r="548" spans="21:24" ht="21.6" customHeight="1">
      <c r="U548" s="57"/>
      <c r="V548" s="57"/>
      <c r="W548" s="57"/>
      <c r="X548" s="57"/>
    </row>
    <row r="549" spans="21:24" ht="21.6" customHeight="1">
      <c r="U549" s="57"/>
      <c r="V549" s="57"/>
      <c r="W549" s="57"/>
      <c r="X549" s="57"/>
    </row>
    <row r="550" spans="21:24" ht="21.6" customHeight="1">
      <c r="U550" s="57"/>
      <c r="V550" s="57"/>
      <c r="W550" s="57"/>
      <c r="X550" s="57"/>
    </row>
    <row r="551" spans="21:24" ht="21.6" customHeight="1">
      <c r="U551" s="57"/>
      <c r="V551" s="57"/>
      <c r="W551" s="57"/>
      <c r="X551" s="57"/>
    </row>
    <row r="552" spans="21:24" ht="21.6" customHeight="1">
      <c r="U552" s="57"/>
      <c r="V552" s="57"/>
      <c r="W552" s="57"/>
      <c r="X552" s="57"/>
    </row>
    <row r="553" spans="21:24" ht="21.6" customHeight="1">
      <c r="U553" s="57"/>
      <c r="V553" s="57"/>
      <c r="W553" s="57"/>
      <c r="X553" s="57"/>
    </row>
    <row r="554" spans="21:24" ht="21.6" customHeight="1">
      <c r="U554" s="57"/>
      <c r="V554" s="57"/>
      <c r="W554" s="57"/>
      <c r="X554" s="57"/>
    </row>
    <row r="555" spans="21:24" ht="21.6" customHeight="1">
      <c r="U555" s="57"/>
      <c r="V555" s="57"/>
      <c r="W555" s="57"/>
      <c r="X555" s="57"/>
    </row>
    <row r="556" spans="21:24" ht="21.6" customHeight="1">
      <c r="U556" s="57"/>
      <c r="V556" s="57"/>
      <c r="W556" s="57"/>
      <c r="X556" s="57"/>
    </row>
    <row r="557" spans="21:24" ht="21.6" customHeight="1">
      <c r="U557" s="57"/>
      <c r="V557" s="57"/>
      <c r="W557" s="57"/>
      <c r="X557" s="57"/>
    </row>
    <row r="558" spans="21:24" ht="21.6" customHeight="1">
      <c r="U558" s="57"/>
      <c r="V558" s="57"/>
      <c r="W558" s="57"/>
      <c r="X558" s="57"/>
    </row>
    <row r="559" spans="21:24" ht="21.6" customHeight="1">
      <c r="U559" s="57"/>
      <c r="V559" s="57"/>
      <c r="W559" s="57"/>
      <c r="X559" s="57"/>
    </row>
    <row r="560" spans="21:24" ht="21.6" customHeight="1">
      <c r="U560" s="57"/>
      <c r="V560" s="57"/>
      <c r="W560" s="57"/>
      <c r="X560" s="57"/>
    </row>
    <row r="561" spans="21:24" ht="21.6" customHeight="1">
      <c r="U561" s="57"/>
      <c r="V561" s="57"/>
      <c r="W561" s="57"/>
      <c r="X561" s="57"/>
    </row>
    <row r="562" spans="21:24" ht="21.6" customHeight="1">
      <c r="U562" s="57"/>
      <c r="V562" s="57"/>
      <c r="W562" s="57"/>
      <c r="X562" s="57"/>
    </row>
    <row r="563" spans="21:24" ht="21.6" customHeight="1">
      <c r="U563" s="57"/>
      <c r="V563" s="57"/>
      <c r="W563" s="57"/>
      <c r="X563" s="57"/>
    </row>
    <row r="564" spans="21:24" ht="21.6" customHeight="1">
      <c r="U564" s="57"/>
      <c r="V564" s="57"/>
      <c r="W564" s="57"/>
      <c r="X564" s="57"/>
    </row>
    <row r="565" spans="21:24" ht="21.6" customHeight="1">
      <c r="U565" s="57"/>
      <c r="V565" s="57"/>
      <c r="W565" s="57"/>
      <c r="X565" s="57"/>
    </row>
    <row r="566" spans="21:24" ht="21.6" customHeight="1">
      <c r="U566" s="57"/>
      <c r="V566" s="57"/>
      <c r="W566" s="57"/>
      <c r="X566" s="57"/>
    </row>
    <row r="567" spans="21:24" ht="21.6" customHeight="1">
      <c r="U567" s="57"/>
      <c r="V567" s="57"/>
      <c r="W567" s="57"/>
      <c r="X567" s="57"/>
    </row>
    <row r="568" spans="21:24" ht="21.6" customHeight="1">
      <c r="U568" s="57"/>
      <c r="V568" s="57"/>
      <c r="W568" s="57"/>
      <c r="X568" s="57"/>
    </row>
    <row r="569" spans="21:24" ht="21.6" customHeight="1">
      <c r="U569" s="57"/>
      <c r="V569" s="57"/>
      <c r="W569" s="57"/>
      <c r="X569" s="57"/>
    </row>
    <row r="570" spans="21:24" ht="21.6" customHeight="1">
      <c r="U570" s="57"/>
      <c r="V570" s="57"/>
      <c r="W570" s="57"/>
      <c r="X570" s="57"/>
    </row>
    <row r="571" spans="21:24" ht="21.6" customHeight="1">
      <c r="U571" s="57"/>
      <c r="V571" s="57"/>
      <c r="W571" s="57"/>
      <c r="X571" s="57"/>
    </row>
    <row r="572" spans="21:24" ht="21.6" customHeight="1">
      <c r="U572" s="57"/>
      <c r="V572" s="57"/>
      <c r="W572" s="57"/>
      <c r="X572" s="57"/>
    </row>
    <row r="573" spans="21:24" ht="21.6" customHeight="1">
      <c r="U573" s="57"/>
      <c r="V573" s="57"/>
      <c r="W573" s="57"/>
      <c r="X573" s="57"/>
    </row>
    <row r="574" spans="21:24" ht="21.6" customHeight="1">
      <c r="U574" s="57"/>
      <c r="V574" s="57"/>
      <c r="W574" s="57"/>
      <c r="X574" s="57"/>
    </row>
    <row r="575" spans="21:24" ht="21.6" customHeight="1">
      <c r="U575" s="57"/>
      <c r="V575" s="57"/>
      <c r="W575" s="57"/>
      <c r="X575" s="57"/>
    </row>
    <row r="576" spans="21:24" ht="21.6" customHeight="1">
      <c r="U576" s="57"/>
      <c r="V576" s="57"/>
      <c r="W576" s="57"/>
      <c r="X576" s="57"/>
    </row>
    <row r="577" spans="21:24" ht="21.6" customHeight="1">
      <c r="U577" s="57"/>
      <c r="V577" s="57"/>
      <c r="W577" s="57"/>
      <c r="X577" s="57"/>
    </row>
    <row r="578" spans="21:24" ht="21.6" customHeight="1">
      <c r="U578" s="57"/>
      <c r="V578" s="57"/>
      <c r="W578" s="57"/>
      <c r="X578" s="57"/>
    </row>
    <row r="579" spans="21:24" ht="21.6" customHeight="1">
      <c r="U579" s="57"/>
      <c r="V579" s="57"/>
      <c r="W579" s="57"/>
      <c r="X579" s="57"/>
    </row>
    <row r="580" spans="21:24" ht="21.6" customHeight="1">
      <c r="U580" s="57"/>
      <c r="V580" s="57"/>
      <c r="W580" s="57"/>
      <c r="X580" s="57"/>
    </row>
    <row r="581" spans="21:24" ht="21.6" customHeight="1">
      <c r="U581" s="57"/>
      <c r="V581" s="57"/>
      <c r="W581" s="57"/>
      <c r="X581" s="57"/>
    </row>
    <row r="582" spans="21:24" ht="21.6" customHeight="1">
      <c r="U582" s="57"/>
      <c r="V582" s="57"/>
      <c r="W582" s="57"/>
      <c r="X582" s="57"/>
    </row>
    <row r="583" spans="21:24" ht="21.6" customHeight="1">
      <c r="U583" s="57"/>
      <c r="V583" s="57"/>
      <c r="W583" s="57"/>
      <c r="X583" s="57"/>
    </row>
    <row r="584" spans="21:24" ht="21.6" customHeight="1">
      <c r="U584" s="57"/>
      <c r="V584" s="57"/>
      <c r="W584" s="57"/>
      <c r="X584" s="57"/>
    </row>
    <row r="585" spans="21:24" ht="21.6" customHeight="1">
      <c r="U585" s="57"/>
      <c r="V585" s="57"/>
      <c r="W585" s="57"/>
      <c r="X585" s="57"/>
    </row>
    <row r="586" spans="21:24" ht="21.6" customHeight="1">
      <c r="U586" s="57"/>
      <c r="V586" s="57"/>
      <c r="W586" s="57"/>
      <c r="X586" s="57"/>
    </row>
    <row r="587" spans="21:24" ht="21.6" customHeight="1">
      <c r="U587" s="57"/>
      <c r="V587" s="57"/>
      <c r="W587" s="57"/>
      <c r="X587" s="57"/>
    </row>
    <row r="588" spans="21:24" ht="21.6" customHeight="1">
      <c r="U588" s="57"/>
      <c r="V588" s="57"/>
      <c r="W588" s="57"/>
      <c r="X588" s="57"/>
    </row>
    <row r="589" spans="21:24" ht="21.6" customHeight="1">
      <c r="U589" s="57"/>
      <c r="V589" s="57"/>
      <c r="W589" s="57"/>
      <c r="X589" s="57"/>
    </row>
    <row r="590" spans="21:24" ht="21.6" customHeight="1">
      <c r="U590" s="57"/>
      <c r="V590" s="57"/>
      <c r="W590" s="57"/>
      <c r="X590" s="57"/>
    </row>
    <row r="591" spans="21:24" ht="21.6" customHeight="1">
      <c r="U591" s="57"/>
      <c r="V591" s="57"/>
      <c r="W591" s="57"/>
      <c r="X591" s="57"/>
    </row>
    <row r="592" spans="21:24" ht="21.6" customHeight="1">
      <c r="U592" s="57"/>
      <c r="V592" s="57"/>
      <c r="W592" s="57"/>
      <c r="X592" s="57"/>
    </row>
    <row r="593" spans="21:24" ht="21.6" customHeight="1">
      <c r="U593" s="57"/>
      <c r="V593" s="57"/>
      <c r="W593" s="57"/>
      <c r="X593" s="57"/>
    </row>
    <row r="594" spans="21:24" ht="21.6" customHeight="1">
      <c r="U594" s="57"/>
      <c r="V594" s="57"/>
      <c r="W594" s="57"/>
      <c r="X594" s="57"/>
    </row>
    <row r="595" spans="21:24" ht="21.6" customHeight="1">
      <c r="U595" s="57"/>
      <c r="V595" s="57"/>
      <c r="W595" s="57"/>
      <c r="X595" s="57"/>
    </row>
    <row r="596" spans="21:24" ht="21.6" customHeight="1">
      <c r="U596" s="57"/>
      <c r="V596" s="57"/>
      <c r="W596" s="57"/>
      <c r="X596" s="57"/>
    </row>
    <row r="597" spans="21:24" ht="21.6" customHeight="1">
      <c r="U597" s="57"/>
      <c r="V597" s="57"/>
      <c r="W597" s="57"/>
      <c r="X597" s="57"/>
    </row>
    <row r="598" spans="21:24" ht="21.6" customHeight="1">
      <c r="U598" s="57"/>
      <c r="V598" s="57"/>
      <c r="W598" s="57"/>
      <c r="X598" s="57"/>
    </row>
    <row r="599" spans="21:24" ht="21.6" customHeight="1">
      <c r="U599" s="57"/>
      <c r="V599" s="57"/>
      <c r="W599" s="57"/>
      <c r="X599" s="57"/>
    </row>
    <row r="600" spans="21:24" ht="21.6" customHeight="1">
      <c r="U600" s="57"/>
      <c r="V600" s="57"/>
      <c r="W600" s="57"/>
      <c r="X600" s="57"/>
    </row>
    <row r="601" spans="21:24" ht="21.6" customHeight="1">
      <c r="U601" s="57"/>
      <c r="V601" s="57"/>
      <c r="W601" s="57"/>
      <c r="X601" s="57"/>
    </row>
    <row r="602" spans="21:24" ht="21.6" customHeight="1">
      <c r="U602" s="57"/>
      <c r="V602" s="57"/>
      <c r="W602" s="57"/>
      <c r="X602" s="57"/>
    </row>
    <row r="603" spans="21:24" ht="21.6" customHeight="1">
      <c r="U603" s="57"/>
      <c r="V603" s="57"/>
      <c r="W603" s="57"/>
      <c r="X603" s="57"/>
    </row>
    <row r="604" spans="21:24" ht="21.6" customHeight="1">
      <c r="U604" s="57"/>
      <c r="V604" s="57"/>
      <c r="W604" s="57"/>
      <c r="X604" s="57"/>
    </row>
    <row r="605" spans="21:24" ht="21.6" customHeight="1">
      <c r="U605" s="57"/>
      <c r="V605" s="57"/>
      <c r="W605" s="57"/>
      <c r="X605" s="57"/>
    </row>
    <row r="606" spans="21:24" ht="21.6" customHeight="1">
      <c r="U606" s="57"/>
      <c r="V606" s="57"/>
      <c r="W606" s="57"/>
      <c r="X606" s="57"/>
    </row>
    <row r="607" spans="21:24" ht="21.6" customHeight="1">
      <c r="U607" s="57"/>
      <c r="V607" s="57"/>
      <c r="W607" s="57"/>
      <c r="X607" s="57"/>
    </row>
    <row r="608" spans="21:24" ht="21.6" customHeight="1">
      <c r="U608" s="57"/>
      <c r="V608" s="57"/>
      <c r="W608" s="57"/>
      <c r="X608" s="57"/>
    </row>
    <row r="609" spans="21:24" ht="21.6" customHeight="1">
      <c r="U609" s="57"/>
      <c r="V609" s="57"/>
      <c r="W609" s="57"/>
      <c r="X609" s="57"/>
    </row>
    <row r="610" spans="21:24" ht="21.6" customHeight="1">
      <c r="U610" s="57"/>
      <c r="V610" s="57"/>
      <c r="W610" s="57"/>
      <c r="X610" s="57"/>
    </row>
    <row r="611" spans="21:24" ht="21.6" customHeight="1">
      <c r="U611" s="57"/>
      <c r="V611" s="57"/>
      <c r="W611" s="57"/>
      <c r="X611" s="57"/>
    </row>
    <row r="612" spans="21:24" ht="21.6" customHeight="1">
      <c r="U612" s="57"/>
      <c r="V612" s="57"/>
      <c r="W612" s="57"/>
      <c r="X612" s="57"/>
    </row>
    <row r="613" spans="21:24" ht="21.6" customHeight="1">
      <c r="U613" s="57"/>
      <c r="V613" s="57"/>
      <c r="W613" s="57"/>
      <c r="X613" s="57"/>
    </row>
    <row r="614" spans="21:24" ht="21.6" customHeight="1">
      <c r="U614" s="57"/>
      <c r="V614" s="57"/>
      <c r="W614" s="57"/>
      <c r="X614" s="57"/>
    </row>
    <row r="615" spans="21:24" ht="21.6" customHeight="1">
      <c r="U615" s="57"/>
      <c r="V615" s="57"/>
      <c r="W615" s="57"/>
      <c r="X615" s="57"/>
    </row>
    <row r="616" spans="21:24" ht="21.6" customHeight="1">
      <c r="U616" s="57"/>
      <c r="V616" s="57"/>
      <c r="W616" s="57"/>
      <c r="X616" s="57"/>
    </row>
    <row r="617" spans="21:24" ht="21.6" customHeight="1">
      <c r="U617" s="57"/>
      <c r="V617" s="57"/>
      <c r="W617" s="57"/>
      <c r="X617" s="57"/>
    </row>
    <row r="618" spans="21:24" ht="21.6" customHeight="1">
      <c r="U618" s="57"/>
      <c r="V618" s="57"/>
      <c r="W618" s="57"/>
      <c r="X618" s="57"/>
    </row>
    <row r="619" spans="21:24" ht="21.6" customHeight="1">
      <c r="U619" s="57"/>
      <c r="V619" s="57"/>
      <c r="W619" s="57"/>
      <c r="X619" s="57"/>
    </row>
    <row r="620" spans="21:24" ht="21.6" customHeight="1">
      <c r="U620" s="57"/>
      <c r="V620" s="57"/>
      <c r="W620" s="57"/>
      <c r="X620" s="57"/>
    </row>
    <row r="621" spans="21:24" ht="21.6" customHeight="1">
      <c r="U621" s="57"/>
      <c r="V621" s="57"/>
      <c r="W621" s="57"/>
      <c r="X621" s="57"/>
    </row>
    <row r="622" spans="21:24" ht="21.6" customHeight="1">
      <c r="U622" s="57"/>
      <c r="V622" s="57"/>
      <c r="W622" s="57"/>
      <c r="X622" s="57"/>
    </row>
    <row r="623" spans="21:24" ht="21.6" customHeight="1">
      <c r="U623" s="57"/>
      <c r="V623" s="57"/>
      <c r="W623" s="57"/>
      <c r="X623" s="57"/>
    </row>
    <row r="624" spans="21:24" ht="21.6" customHeight="1">
      <c r="U624" s="57"/>
      <c r="V624" s="57"/>
      <c r="W624" s="57"/>
      <c r="X624" s="57"/>
    </row>
    <row r="625" spans="21:24" ht="21.6" customHeight="1">
      <c r="U625" s="57"/>
      <c r="V625" s="57"/>
      <c r="W625" s="57"/>
      <c r="X625" s="57"/>
    </row>
    <row r="626" spans="21:24" ht="21.6" customHeight="1">
      <c r="U626" s="57"/>
      <c r="V626" s="57"/>
      <c r="W626" s="57"/>
      <c r="X626" s="57"/>
    </row>
    <row r="627" spans="21:24" ht="21.6" customHeight="1">
      <c r="U627" s="57"/>
      <c r="V627" s="57"/>
      <c r="W627" s="57"/>
      <c r="X627" s="57"/>
    </row>
    <row r="628" spans="21:24" ht="21.6" customHeight="1">
      <c r="U628" s="57"/>
      <c r="V628" s="57"/>
      <c r="W628" s="57"/>
      <c r="X628" s="57"/>
    </row>
    <row r="629" spans="21:24" ht="21.6" customHeight="1">
      <c r="U629" s="57"/>
      <c r="V629" s="57"/>
      <c r="W629" s="57"/>
      <c r="X629" s="57"/>
    </row>
    <row r="630" spans="21:24" ht="21.6" customHeight="1">
      <c r="U630" s="57"/>
      <c r="V630" s="57"/>
      <c r="W630" s="57"/>
      <c r="X630" s="57"/>
    </row>
    <row r="631" spans="21:24" ht="21.6" customHeight="1">
      <c r="U631" s="57"/>
      <c r="V631" s="57"/>
      <c r="W631" s="57"/>
      <c r="X631" s="57"/>
    </row>
    <row r="632" spans="21:24" ht="21.6" customHeight="1">
      <c r="U632" s="57"/>
      <c r="V632" s="57"/>
      <c r="W632" s="57"/>
      <c r="X632" s="57"/>
    </row>
    <row r="633" spans="21:24" ht="21.6" customHeight="1">
      <c r="U633" s="57"/>
      <c r="V633" s="57"/>
      <c r="W633" s="57"/>
      <c r="X633" s="57"/>
    </row>
    <row r="634" spans="21:24" ht="21.6" customHeight="1">
      <c r="U634" s="57"/>
      <c r="V634" s="57"/>
      <c r="W634" s="57"/>
      <c r="X634" s="57"/>
    </row>
    <row r="635" spans="21:24" ht="21.6" customHeight="1">
      <c r="U635" s="57"/>
      <c r="V635" s="57"/>
      <c r="W635" s="57"/>
      <c r="X635" s="57"/>
    </row>
    <row r="636" spans="21:24" ht="21.6" customHeight="1">
      <c r="U636" s="57"/>
      <c r="V636" s="57"/>
      <c r="W636" s="57"/>
      <c r="X636" s="57"/>
    </row>
    <row r="637" spans="21:24" ht="21.6" customHeight="1">
      <c r="U637" s="57"/>
      <c r="V637" s="57"/>
      <c r="W637" s="57"/>
      <c r="X637" s="57"/>
    </row>
    <row r="638" spans="21:24" ht="21.6" customHeight="1">
      <c r="U638" s="57"/>
      <c r="V638" s="57"/>
      <c r="W638" s="57"/>
      <c r="X638" s="57"/>
    </row>
    <row r="639" spans="21:24" ht="21.6" customHeight="1">
      <c r="U639" s="57"/>
      <c r="V639" s="57"/>
      <c r="W639" s="57"/>
      <c r="X639" s="57"/>
    </row>
    <row r="640" spans="21:24" ht="21.6" customHeight="1">
      <c r="U640" s="57"/>
      <c r="V640" s="57"/>
      <c r="W640" s="57"/>
      <c r="X640" s="57"/>
    </row>
    <row r="641" spans="21:24" ht="21.6" customHeight="1">
      <c r="U641" s="57"/>
      <c r="V641" s="57"/>
      <c r="W641" s="57"/>
      <c r="X641" s="57"/>
    </row>
    <row r="642" spans="21:24" ht="21.6" customHeight="1">
      <c r="U642" s="57"/>
      <c r="V642" s="57"/>
      <c r="W642" s="57"/>
      <c r="X642" s="57"/>
    </row>
    <row r="643" spans="21:24" ht="21.6" customHeight="1">
      <c r="U643" s="57"/>
      <c r="V643" s="57"/>
      <c r="W643" s="57"/>
      <c r="X643" s="57"/>
    </row>
    <row r="644" spans="21:24" ht="21.6" customHeight="1">
      <c r="U644" s="57"/>
      <c r="V644" s="57"/>
      <c r="W644" s="57"/>
      <c r="X644" s="57"/>
    </row>
    <row r="645" spans="21:24" ht="21.6" customHeight="1">
      <c r="U645" s="57"/>
      <c r="V645" s="57"/>
      <c r="W645" s="57"/>
      <c r="X645" s="57"/>
    </row>
    <row r="646" spans="21:24" ht="21.6" customHeight="1">
      <c r="U646" s="57"/>
      <c r="V646" s="57"/>
      <c r="W646" s="57"/>
      <c r="X646" s="57"/>
    </row>
    <row r="647" spans="21:24" ht="21.6" customHeight="1">
      <c r="U647" s="57"/>
      <c r="V647" s="57"/>
      <c r="W647" s="57"/>
      <c r="X647" s="57"/>
    </row>
    <row r="648" spans="21:24" ht="21.6" customHeight="1">
      <c r="U648" s="57"/>
      <c r="V648" s="57"/>
      <c r="W648" s="57"/>
      <c r="X648" s="57"/>
    </row>
    <row r="649" spans="21:24" ht="21.6" customHeight="1">
      <c r="U649" s="57"/>
      <c r="V649" s="57"/>
      <c r="W649" s="57"/>
      <c r="X649" s="57"/>
    </row>
    <row r="650" spans="21:24" ht="21.6" customHeight="1">
      <c r="U650" s="57"/>
      <c r="V650" s="57"/>
      <c r="W650" s="57"/>
      <c r="X650" s="57"/>
    </row>
    <row r="651" spans="21:24" ht="21.6" customHeight="1">
      <c r="U651" s="57"/>
      <c r="V651" s="57"/>
      <c r="W651" s="57"/>
      <c r="X651" s="57"/>
    </row>
    <row r="652" spans="21:24" ht="21.6" customHeight="1">
      <c r="U652" s="57"/>
      <c r="V652" s="57"/>
      <c r="W652" s="57"/>
      <c r="X652" s="57"/>
    </row>
    <row r="653" spans="21:24" ht="21.6" customHeight="1">
      <c r="U653" s="57"/>
      <c r="V653" s="57"/>
      <c r="W653" s="57"/>
      <c r="X653" s="57"/>
    </row>
    <row r="654" spans="21:24" ht="21.6" customHeight="1">
      <c r="U654" s="57"/>
      <c r="V654" s="57"/>
      <c r="W654" s="57"/>
      <c r="X654" s="57"/>
    </row>
    <row r="655" spans="21:24" ht="21.6" customHeight="1">
      <c r="U655" s="57"/>
      <c r="V655" s="57"/>
      <c r="W655" s="57"/>
      <c r="X655" s="57"/>
    </row>
    <row r="656" spans="21:24" ht="21.6" customHeight="1">
      <c r="U656" s="57"/>
      <c r="V656" s="57"/>
      <c r="W656" s="57"/>
      <c r="X656" s="57"/>
    </row>
    <row r="657" spans="21:24" ht="21.6" customHeight="1">
      <c r="U657" s="57"/>
      <c r="V657" s="57"/>
      <c r="W657" s="57"/>
      <c r="X657" s="57"/>
    </row>
    <row r="658" spans="21:24" ht="21.6" customHeight="1">
      <c r="U658" s="57"/>
      <c r="V658" s="57"/>
      <c r="W658" s="57"/>
      <c r="X658" s="57"/>
    </row>
    <row r="659" spans="21:24" ht="21.6" customHeight="1">
      <c r="U659" s="57"/>
      <c r="V659" s="57"/>
      <c r="W659" s="57"/>
      <c r="X659" s="57"/>
    </row>
    <row r="660" spans="21:24" ht="21.6" customHeight="1">
      <c r="U660" s="57"/>
      <c r="V660" s="57"/>
      <c r="W660" s="57"/>
      <c r="X660" s="57"/>
    </row>
    <row r="661" spans="21:24" ht="21.6" customHeight="1">
      <c r="U661" s="57"/>
      <c r="V661" s="57"/>
      <c r="W661" s="57"/>
      <c r="X661" s="57"/>
    </row>
    <row r="662" spans="21:24" ht="21.6" customHeight="1">
      <c r="U662" s="57"/>
      <c r="V662" s="57"/>
      <c r="W662" s="57"/>
      <c r="X662" s="57"/>
    </row>
    <row r="663" spans="21:24" ht="21.6" customHeight="1">
      <c r="U663" s="57"/>
      <c r="V663" s="57"/>
      <c r="W663" s="57"/>
      <c r="X663" s="57"/>
    </row>
    <row r="664" spans="21:24" ht="21.6" customHeight="1">
      <c r="U664" s="57"/>
      <c r="V664" s="57"/>
      <c r="W664" s="57"/>
      <c r="X664" s="57"/>
    </row>
    <row r="665" spans="21:24" ht="21.6" customHeight="1">
      <c r="U665" s="57"/>
      <c r="V665" s="57"/>
      <c r="W665" s="57"/>
      <c r="X665" s="57"/>
    </row>
    <row r="666" spans="21:24" ht="21.6" customHeight="1">
      <c r="U666" s="57"/>
      <c r="V666" s="57"/>
      <c r="W666" s="57"/>
      <c r="X666" s="57"/>
    </row>
    <row r="667" spans="21:24" ht="21.6" customHeight="1">
      <c r="U667" s="57"/>
      <c r="V667" s="57"/>
      <c r="W667" s="57"/>
      <c r="X667" s="57"/>
    </row>
    <row r="668" spans="21:24" ht="21.6" customHeight="1">
      <c r="U668" s="57"/>
      <c r="V668" s="57"/>
      <c r="W668" s="57"/>
      <c r="X668" s="57"/>
    </row>
    <row r="669" spans="21:24" ht="21.6" customHeight="1">
      <c r="U669" s="57"/>
      <c r="V669" s="57"/>
      <c r="W669" s="57"/>
      <c r="X669" s="57"/>
    </row>
    <row r="670" spans="21:24" ht="21.6" customHeight="1">
      <c r="U670" s="57"/>
      <c r="V670" s="57"/>
      <c r="W670" s="57"/>
      <c r="X670" s="57"/>
    </row>
    <row r="671" spans="21:24" ht="21.6" customHeight="1">
      <c r="U671" s="57"/>
      <c r="V671" s="57"/>
      <c r="W671" s="57"/>
      <c r="X671" s="57"/>
    </row>
    <row r="672" spans="21:24" ht="21.6" customHeight="1">
      <c r="U672" s="57"/>
      <c r="V672" s="57"/>
      <c r="W672" s="57"/>
      <c r="X672" s="57"/>
    </row>
    <row r="673" spans="21:24" ht="21.6" customHeight="1">
      <c r="U673" s="57"/>
      <c r="V673" s="57"/>
      <c r="W673" s="57"/>
      <c r="X673" s="57"/>
    </row>
    <row r="674" spans="21:24" ht="21.6" customHeight="1">
      <c r="U674" s="57"/>
      <c r="V674" s="57"/>
      <c r="W674" s="57"/>
      <c r="X674" s="57"/>
    </row>
    <row r="675" spans="21:24" ht="21.6" customHeight="1">
      <c r="U675" s="57"/>
      <c r="V675" s="57"/>
      <c r="W675" s="57"/>
      <c r="X675" s="57"/>
    </row>
    <row r="676" spans="21:24" ht="21.6" customHeight="1">
      <c r="U676" s="57"/>
      <c r="V676" s="57"/>
      <c r="W676" s="57"/>
      <c r="X676" s="57"/>
    </row>
    <row r="677" spans="21:24" ht="21.6" customHeight="1">
      <c r="U677" s="57"/>
      <c r="V677" s="57"/>
      <c r="W677" s="57"/>
      <c r="X677" s="57"/>
    </row>
    <row r="678" spans="21:24" ht="21.6" customHeight="1">
      <c r="U678" s="57"/>
      <c r="V678" s="57"/>
      <c r="W678" s="57"/>
      <c r="X678" s="57"/>
    </row>
    <row r="679" spans="21:24" ht="21.6" customHeight="1">
      <c r="U679" s="57"/>
      <c r="V679" s="57"/>
      <c r="W679" s="57"/>
      <c r="X679" s="57"/>
    </row>
    <row r="680" spans="21:24" ht="21.6" customHeight="1">
      <c r="U680" s="57"/>
      <c r="V680" s="57"/>
      <c r="W680" s="57"/>
      <c r="X680" s="57"/>
    </row>
    <row r="681" spans="21:24" ht="21.6" customHeight="1">
      <c r="U681" s="57"/>
      <c r="V681" s="57"/>
      <c r="W681" s="57"/>
      <c r="X681" s="57"/>
    </row>
    <row r="682" spans="21:24" ht="21.6" customHeight="1">
      <c r="U682" s="57"/>
      <c r="V682" s="57"/>
      <c r="W682" s="57"/>
      <c r="X682" s="57"/>
    </row>
    <row r="683" spans="21:24" ht="21.6" customHeight="1">
      <c r="U683" s="57"/>
      <c r="V683" s="57"/>
      <c r="W683" s="57"/>
      <c r="X683" s="57"/>
    </row>
    <row r="684" spans="21:24" ht="21.6" customHeight="1">
      <c r="U684" s="57"/>
      <c r="V684" s="57"/>
      <c r="W684" s="57"/>
      <c r="X684" s="57"/>
    </row>
    <row r="685" spans="21:24" ht="21.6" customHeight="1">
      <c r="U685" s="57"/>
      <c r="V685" s="57"/>
      <c r="W685" s="57"/>
      <c r="X685" s="57"/>
    </row>
    <row r="686" spans="21:24" ht="21.6" customHeight="1">
      <c r="U686" s="57"/>
      <c r="V686" s="57"/>
      <c r="W686" s="57"/>
      <c r="X686" s="57"/>
    </row>
    <row r="687" spans="21:24" ht="21.6" customHeight="1">
      <c r="U687" s="57"/>
      <c r="V687" s="57"/>
      <c r="W687" s="57"/>
      <c r="X687" s="57"/>
    </row>
    <row r="688" spans="21:24" ht="21.6" customHeight="1">
      <c r="U688" s="57"/>
      <c r="V688" s="57"/>
      <c r="W688" s="57"/>
      <c r="X688" s="57"/>
    </row>
    <row r="689" spans="21:24" ht="21.6" customHeight="1">
      <c r="U689" s="57"/>
      <c r="V689" s="57"/>
      <c r="W689" s="57"/>
      <c r="X689" s="57"/>
    </row>
    <row r="690" spans="21:24" ht="21.6" customHeight="1">
      <c r="U690" s="57"/>
      <c r="V690" s="57"/>
      <c r="W690" s="57"/>
      <c r="X690" s="57"/>
    </row>
    <row r="691" spans="21:24" ht="21.6" customHeight="1">
      <c r="U691" s="57"/>
      <c r="V691" s="57"/>
      <c r="W691" s="57"/>
      <c r="X691" s="57"/>
    </row>
    <row r="692" spans="21:24" ht="21.6" customHeight="1">
      <c r="U692" s="57"/>
      <c r="V692" s="57"/>
      <c r="W692" s="57"/>
      <c r="X692" s="57"/>
    </row>
    <row r="693" spans="21:24" ht="21.6" customHeight="1">
      <c r="U693" s="57"/>
      <c r="V693" s="57"/>
      <c r="W693" s="57"/>
      <c r="X693" s="57"/>
    </row>
    <row r="694" spans="21:24" ht="21.6" customHeight="1">
      <c r="U694" s="57"/>
      <c r="V694" s="57"/>
      <c r="W694" s="57"/>
      <c r="X694" s="57"/>
    </row>
    <row r="695" spans="21:24" ht="21.6" customHeight="1">
      <c r="U695" s="57"/>
      <c r="V695" s="57"/>
      <c r="W695" s="57"/>
      <c r="X695" s="57"/>
    </row>
    <row r="696" spans="21:24" ht="21.6" customHeight="1">
      <c r="U696" s="57"/>
      <c r="V696" s="57"/>
      <c r="W696" s="57"/>
      <c r="X696" s="57"/>
    </row>
    <row r="697" spans="21:24" ht="21.6" customHeight="1">
      <c r="U697" s="57"/>
      <c r="V697" s="57"/>
      <c r="W697" s="57"/>
      <c r="X697" s="57"/>
    </row>
    <row r="698" spans="21:24" ht="21.6" customHeight="1">
      <c r="U698" s="57"/>
      <c r="V698" s="57"/>
      <c r="W698" s="57"/>
      <c r="X698" s="57"/>
    </row>
    <row r="699" spans="21:24" ht="21.6" customHeight="1">
      <c r="U699" s="57"/>
      <c r="V699" s="57"/>
      <c r="W699" s="57"/>
      <c r="X699" s="57"/>
    </row>
    <row r="700" spans="21:24" ht="21.6" customHeight="1">
      <c r="U700" s="57"/>
      <c r="V700" s="57"/>
      <c r="W700" s="57"/>
      <c r="X700" s="57"/>
    </row>
    <row r="701" spans="21:24" ht="21.6" customHeight="1">
      <c r="U701" s="57"/>
      <c r="V701" s="57"/>
      <c r="W701" s="57"/>
      <c r="X701" s="57"/>
    </row>
    <row r="702" spans="21:24" ht="21.6" customHeight="1">
      <c r="U702" s="57"/>
      <c r="V702" s="57"/>
      <c r="W702" s="57"/>
      <c r="X702" s="57"/>
    </row>
    <row r="703" spans="21:24" ht="21.6" customHeight="1">
      <c r="U703" s="57"/>
      <c r="V703" s="57"/>
      <c r="W703" s="57"/>
      <c r="X703" s="57"/>
    </row>
    <row r="704" spans="21:24" ht="21.6" customHeight="1">
      <c r="U704" s="57"/>
      <c r="V704" s="57"/>
      <c r="W704" s="57"/>
      <c r="X704" s="57"/>
    </row>
    <row r="705" spans="21:24" ht="21.6" customHeight="1">
      <c r="U705" s="57"/>
      <c r="V705" s="57"/>
      <c r="W705" s="57"/>
      <c r="X705" s="57"/>
    </row>
    <row r="706" spans="21:24" ht="21.6" customHeight="1">
      <c r="U706" s="57"/>
      <c r="V706" s="57"/>
      <c r="W706" s="57"/>
      <c r="X706" s="57"/>
    </row>
    <row r="707" spans="21:24" ht="21.6" customHeight="1">
      <c r="U707" s="57"/>
      <c r="V707" s="57"/>
      <c r="W707" s="57"/>
      <c r="X707" s="57"/>
    </row>
    <row r="708" spans="21:24" ht="21.6" customHeight="1">
      <c r="U708" s="57"/>
      <c r="V708" s="57"/>
      <c r="W708" s="57"/>
      <c r="X708" s="57"/>
    </row>
    <row r="709" spans="21:24" ht="21.6" customHeight="1">
      <c r="U709" s="57"/>
      <c r="V709" s="57"/>
      <c r="W709" s="57"/>
      <c r="X709" s="57"/>
    </row>
    <row r="710" spans="21:24" ht="21.6" customHeight="1">
      <c r="U710" s="57"/>
      <c r="V710" s="57"/>
      <c r="W710" s="57"/>
      <c r="X710" s="57"/>
    </row>
    <row r="711" spans="21:24" ht="21.6" customHeight="1">
      <c r="U711" s="57"/>
      <c r="V711" s="57"/>
      <c r="W711" s="57"/>
      <c r="X711" s="57"/>
    </row>
    <row r="712" spans="21:24" ht="21.6" customHeight="1">
      <c r="U712" s="57"/>
      <c r="V712" s="57"/>
      <c r="W712" s="57"/>
      <c r="X712" s="57"/>
    </row>
    <row r="713" spans="21:24" ht="21.6" customHeight="1">
      <c r="U713" s="57"/>
      <c r="V713" s="57"/>
      <c r="W713" s="57"/>
      <c r="X713" s="57"/>
    </row>
    <row r="714" spans="21:24" ht="21.6" customHeight="1">
      <c r="U714" s="57"/>
      <c r="V714" s="57"/>
      <c r="W714" s="57"/>
      <c r="X714" s="57"/>
    </row>
    <row r="715" spans="21:24" ht="21.6" customHeight="1">
      <c r="U715" s="57"/>
      <c r="V715" s="57"/>
      <c r="W715" s="57"/>
      <c r="X715" s="57"/>
    </row>
    <row r="716" spans="21:24" ht="21.6" customHeight="1">
      <c r="U716" s="57"/>
      <c r="V716" s="57"/>
      <c r="W716" s="57"/>
      <c r="X716" s="57"/>
    </row>
    <row r="717" spans="21:24" ht="21.6" customHeight="1">
      <c r="U717" s="57"/>
      <c r="V717" s="57"/>
      <c r="W717" s="57"/>
      <c r="X717" s="57"/>
    </row>
    <row r="718" spans="21:24" ht="21.6" customHeight="1">
      <c r="U718" s="57"/>
      <c r="V718" s="57"/>
      <c r="W718" s="57"/>
      <c r="X718" s="57"/>
    </row>
    <row r="719" spans="21:24" ht="21.6" customHeight="1">
      <c r="U719" s="57"/>
      <c r="V719" s="57"/>
      <c r="W719" s="57"/>
      <c r="X719" s="57"/>
    </row>
    <row r="720" spans="21:24" ht="21.6" customHeight="1">
      <c r="U720" s="57"/>
      <c r="V720" s="57"/>
      <c r="W720" s="57"/>
      <c r="X720" s="57"/>
    </row>
    <row r="721" spans="21:24" ht="21.6" customHeight="1">
      <c r="U721" s="57"/>
      <c r="V721" s="57"/>
      <c r="W721" s="57"/>
      <c r="X721" s="57"/>
    </row>
    <row r="722" spans="21:24" ht="21.6" customHeight="1">
      <c r="U722" s="57"/>
      <c r="V722" s="57"/>
      <c r="W722" s="57"/>
      <c r="X722" s="57"/>
    </row>
    <row r="723" spans="21:24" ht="21.6" customHeight="1">
      <c r="U723" s="57"/>
      <c r="V723" s="57"/>
      <c r="W723" s="57"/>
      <c r="X723" s="57"/>
    </row>
    <row r="724" spans="21:24" ht="21.6" customHeight="1">
      <c r="U724" s="57"/>
      <c r="V724" s="57"/>
      <c r="W724" s="57"/>
      <c r="X724" s="57"/>
    </row>
    <row r="725" spans="21:24" ht="21.6" customHeight="1">
      <c r="U725" s="57"/>
      <c r="V725" s="57"/>
      <c r="W725" s="57"/>
      <c r="X725" s="57"/>
    </row>
    <row r="726" spans="21:24" ht="21.6" customHeight="1">
      <c r="U726" s="57"/>
      <c r="V726" s="57"/>
      <c r="W726" s="57"/>
      <c r="X726" s="57"/>
    </row>
    <row r="727" spans="21:24" ht="21.6" customHeight="1">
      <c r="U727" s="57"/>
      <c r="V727" s="57"/>
      <c r="W727" s="57"/>
      <c r="X727" s="57"/>
    </row>
    <row r="728" spans="21:24" ht="21.6" customHeight="1">
      <c r="U728" s="57"/>
      <c r="V728" s="57"/>
      <c r="W728" s="57"/>
      <c r="X728" s="57"/>
    </row>
    <row r="729" spans="21:24" ht="21.6" customHeight="1">
      <c r="U729" s="57"/>
      <c r="V729" s="57"/>
      <c r="W729" s="57"/>
      <c r="X729" s="57"/>
    </row>
    <row r="730" spans="21:24" ht="21.6" customHeight="1">
      <c r="U730" s="57"/>
      <c r="V730" s="57"/>
      <c r="W730" s="57"/>
      <c r="X730" s="57"/>
    </row>
    <row r="731" spans="21:24" ht="21.6" customHeight="1">
      <c r="U731" s="57"/>
      <c r="V731" s="57"/>
      <c r="W731" s="57"/>
      <c r="X731" s="57"/>
    </row>
    <row r="732" spans="21:24" ht="21.6" customHeight="1">
      <c r="U732" s="57"/>
      <c r="V732" s="57"/>
      <c r="W732" s="57"/>
      <c r="X732" s="57"/>
    </row>
    <row r="733" spans="21:24" ht="21.6" customHeight="1">
      <c r="U733" s="57"/>
      <c r="V733" s="57"/>
      <c r="W733" s="57"/>
      <c r="X733" s="57"/>
    </row>
    <row r="734" spans="21:24" ht="21.6" customHeight="1">
      <c r="U734" s="57"/>
      <c r="V734" s="57"/>
      <c r="W734" s="57"/>
      <c r="X734" s="57"/>
    </row>
    <row r="735" spans="21:24" ht="21.6" customHeight="1">
      <c r="U735" s="57"/>
      <c r="V735" s="57"/>
      <c r="W735" s="57"/>
      <c r="X735" s="57"/>
    </row>
    <row r="736" spans="21:24" ht="21.6" customHeight="1">
      <c r="U736" s="57"/>
      <c r="V736" s="57"/>
      <c r="W736" s="57"/>
      <c r="X736" s="57"/>
    </row>
    <row r="737" spans="21:24" ht="21.6" customHeight="1">
      <c r="U737" s="57"/>
      <c r="V737" s="57"/>
      <c r="W737" s="57"/>
      <c r="X737" s="57"/>
    </row>
    <row r="738" spans="21:24" ht="21.6" customHeight="1">
      <c r="U738" s="57"/>
      <c r="V738" s="57"/>
      <c r="W738" s="57"/>
      <c r="X738" s="57"/>
    </row>
    <row r="739" spans="21:24" ht="21.6" customHeight="1">
      <c r="U739" s="57"/>
      <c r="V739" s="57"/>
      <c r="W739" s="57"/>
      <c r="X739" s="57"/>
    </row>
    <row r="740" spans="21:24" ht="21.6" customHeight="1">
      <c r="U740" s="57"/>
      <c r="V740" s="57"/>
      <c r="W740" s="57"/>
      <c r="X740" s="57"/>
    </row>
    <row r="741" spans="21:24" ht="21.6" customHeight="1">
      <c r="U741" s="57"/>
      <c r="V741" s="57"/>
      <c r="W741" s="57"/>
      <c r="X741" s="57"/>
    </row>
    <row r="742" spans="21:24" ht="21.6" customHeight="1">
      <c r="U742" s="57"/>
      <c r="V742" s="57"/>
      <c r="W742" s="57"/>
      <c r="X742" s="57"/>
    </row>
    <row r="743" spans="21:24" ht="21.6" customHeight="1">
      <c r="U743" s="57"/>
      <c r="V743" s="57"/>
      <c r="W743" s="57"/>
      <c r="X743" s="57"/>
    </row>
    <row r="744" spans="21:24" ht="21.6" customHeight="1">
      <c r="U744" s="57"/>
      <c r="V744" s="57"/>
      <c r="W744" s="57"/>
      <c r="X744" s="57"/>
    </row>
    <row r="745" spans="21:24" ht="21.6" customHeight="1">
      <c r="U745" s="57"/>
      <c r="V745" s="57"/>
      <c r="W745" s="57"/>
      <c r="X745" s="57"/>
    </row>
    <row r="746" spans="21:24" ht="21.6" customHeight="1">
      <c r="U746" s="57"/>
      <c r="V746" s="57"/>
      <c r="W746" s="57"/>
      <c r="X746" s="57"/>
    </row>
    <row r="747" spans="21:24" ht="21.6" customHeight="1">
      <c r="U747" s="57"/>
      <c r="V747" s="57"/>
      <c r="W747" s="57"/>
      <c r="X747" s="57"/>
    </row>
    <row r="748" spans="21:24" ht="21.6" customHeight="1">
      <c r="U748" s="57"/>
      <c r="V748" s="57"/>
      <c r="W748" s="57"/>
      <c r="X748" s="57"/>
    </row>
    <row r="749" spans="21:24" ht="21.6" customHeight="1">
      <c r="U749" s="57"/>
      <c r="V749" s="57"/>
      <c r="W749" s="57"/>
      <c r="X749" s="57"/>
    </row>
    <row r="750" spans="21:24" ht="21.6" customHeight="1">
      <c r="U750" s="57"/>
      <c r="V750" s="57"/>
      <c r="W750" s="57"/>
      <c r="X750" s="57"/>
    </row>
    <row r="751" spans="21:24" ht="21.6" customHeight="1">
      <c r="U751" s="57"/>
      <c r="V751" s="57"/>
      <c r="W751" s="57"/>
      <c r="X751" s="57"/>
    </row>
    <row r="752" spans="21:24" ht="21.6" customHeight="1">
      <c r="U752" s="57"/>
      <c r="V752" s="57"/>
      <c r="W752" s="57"/>
      <c r="X752" s="57"/>
    </row>
    <row r="753" spans="21:24" ht="21.6" customHeight="1">
      <c r="U753" s="57"/>
      <c r="V753" s="57"/>
      <c r="W753" s="57"/>
      <c r="X753" s="57"/>
    </row>
    <row r="754" spans="21:24" ht="21.6" customHeight="1">
      <c r="U754" s="57"/>
      <c r="V754" s="57"/>
      <c r="W754" s="57"/>
      <c r="X754" s="57"/>
    </row>
    <row r="755" spans="21:24" ht="21.6" customHeight="1">
      <c r="U755" s="57"/>
      <c r="V755" s="57"/>
      <c r="W755" s="57"/>
      <c r="X755" s="57"/>
    </row>
    <row r="756" spans="21:24" ht="21.6" customHeight="1">
      <c r="U756" s="57"/>
      <c r="V756" s="57"/>
      <c r="W756" s="57"/>
      <c r="X756" s="57"/>
    </row>
    <row r="757" spans="21:24" ht="21.6" customHeight="1">
      <c r="U757" s="57"/>
      <c r="V757" s="57"/>
      <c r="W757" s="57"/>
      <c r="X757" s="57"/>
    </row>
    <row r="758" spans="21:24" ht="21.6" customHeight="1">
      <c r="U758" s="57"/>
      <c r="V758" s="57"/>
      <c r="W758" s="57"/>
      <c r="X758" s="57"/>
    </row>
    <row r="759" spans="21:24" ht="21.6" customHeight="1">
      <c r="U759" s="57"/>
      <c r="V759" s="57"/>
      <c r="W759" s="57"/>
      <c r="X759" s="57"/>
    </row>
    <row r="760" spans="21:24" ht="21.6" customHeight="1">
      <c r="U760" s="57"/>
      <c r="V760" s="57"/>
      <c r="W760" s="57"/>
      <c r="X760" s="57"/>
    </row>
    <row r="761" spans="21:24" ht="21.6" customHeight="1">
      <c r="U761" s="57"/>
      <c r="V761" s="57"/>
      <c r="W761" s="57"/>
      <c r="X761" s="57"/>
    </row>
    <row r="762" spans="21:24" ht="21.6" customHeight="1">
      <c r="U762" s="57"/>
      <c r="V762" s="57"/>
      <c r="W762" s="57"/>
      <c r="X762" s="57"/>
    </row>
    <row r="763" spans="21:24" ht="21.6" customHeight="1">
      <c r="U763" s="57"/>
      <c r="V763" s="57"/>
      <c r="W763" s="57"/>
      <c r="X763" s="57"/>
    </row>
    <row r="764" spans="21:24" ht="21.6" customHeight="1">
      <c r="U764" s="57"/>
      <c r="V764" s="57"/>
      <c r="W764" s="57"/>
      <c r="X764" s="57"/>
    </row>
    <row r="765" spans="21:24" ht="21.6" customHeight="1">
      <c r="U765" s="57"/>
      <c r="V765" s="57"/>
      <c r="W765" s="57"/>
      <c r="X765" s="57"/>
    </row>
    <row r="766" spans="21:24" ht="21.6" customHeight="1">
      <c r="U766" s="57"/>
      <c r="V766" s="57"/>
      <c r="W766" s="57"/>
      <c r="X766" s="57"/>
    </row>
    <row r="767" spans="21:24" ht="21.6" customHeight="1">
      <c r="U767" s="57"/>
      <c r="V767" s="57"/>
      <c r="W767" s="57"/>
      <c r="X767" s="57"/>
    </row>
    <row r="768" spans="21:24" ht="21.6" customHeight="1">
      <c r="U768" s="57"/>
      <c r="V768" s="57"/>
      <c r="W768" s="57"/>
      <c r="X768" s="57"/>
    </row>
    <row r="769" spans="21:24" ht="21.6" customHeight="1">
      <c r="U769" s="57"/>
      <c r="V769" s="57"/>
      <c r="W769" s="57"/>
      <c r="X769" s="57"/>
    </row>
    <row r="770" spans="21:24" ht="21.6" customHeight="1">
      <c r="U770" s="57"/>
      <c r="V770" s="57"/>
      <c r="W770" s="57"/>
      <c r="X770" s="57"/>
    </row>
    <row r="771" spans="21:24" ht="21.6" customHeight="1">
      <c r="U771" s="57"/>
      <c r="V771" s="57"/>
      <c r="W771" s="57"/>
      <c r="X771" s="57"/>
    </row>
    <row r="772" spans="21:24" ht="21.6" customHeight="1">
      <c r="U772" s="57"/>
      <c r="V772" s="57"/>
      <c r="W772" s="57"/>
      <c r="X772" s="57"/>
    </row>
    <row r="773" spans="21:24" ht="21.6" customHeight="1">
      <c r="U773" s="57"/>
      <c r="V773" s="57"/>
      <c r="W773" s="57"/>
      <c r="X773" s="57"/>
    </row>
    <row r="774" spans="21:24" ht="21.6" customHeight="1">
      <c r="U774" s="57"/>
      <c r="V774" s="57"/>
      <c r="W774" s="57"/>
      <c r="X774" s="57"/>
    </row>
    <row r="775" spans="21:24" ht="21.6" customHeight="1">
      <c r="U775" s="57"/>
      <c r="V775" s="57"/>
      <c r="W775" s="57"/>
      <c r="X775" s="57"/>
    </row>
    <row r="776" spans="21:24" ht="21.6" customHeight="1">
      <c r="U776" s="57"/>
      <c r="V776" s="57"/>
      <c r="W776" s="57"/>
      <c r="X776" s="57"/>
    </row>
    <row r="777" spans="21:24" ht="21.6" customHeight="1">
      <c r="U777" s="57"/>
      <c r="V777" s="57"/>
      <c r="W777" s="57"/>
      <c r="X777" s="57"/>
    </row>
    <row r="778" spans="21:24" ht="21.6" customHeight="1">
      <c r="U778" s="57"/>
      <c r="V778" s="57"/>
      <c r="W778" s="57"/>
      <c r="X778" s="57"/>
    </row>
    <row r="779" spans="21:24" ht="21.6" customHeight="1">
      <c r="U779" s="57"/>
      <c r="V779" s="57"/>
      <c r="W779" s="57"/>
      <c r="X779" s="57"/>
    </row>
    <row r="780" spans="21:24" ht="21.6" customHeight="1">
      <c r="U780" s="57"/>
      <c r="V780" s="57"/>
      <c r="W780" s="57"/>
      <c r="X780" s="57"/>
    </row>
    <row r="781" spans="21:24" ht="21.6" customHeight="1">
      <c r="U781" s="57"/>
      <c r="V781" s="57"/>
      <c r="W781" s="57"/>
      <c r="X781" s="57"/>
    </row>
    <row r="782" spans="21:24" ht="21.6" customHeight="1">
      <c r="U782" s="57"/>
      <c r="V782" s="57"/>
      <c r="W782" s="57"/>
      <c r="X782" s="57"/>
    </row>
    <row r="783" spans="21:24" ht="21.6" customHeight="1">
      <c r="U783" s="57"/>
      <c r="V783" s="57"/>
      <c r="W783" s="57"/>
      <c r="X783" s="57"/>
    </row>
    <row r="784" spans="21:24" ht="21.6" customHeight="1">
      <c r="U784" s="57"/>
      <c r="V784" s="57"/>
      <c r="W784" s="57"/>
      <c r="X784" s="57"/>
    </row>
    <row r="785" spans="21:24" ht="21.6" customHeight="1">
      <c r="U785" s="57"/>
      <c r="V785" s="57"/>
      <c r="W785" s="57"/>
      <c r="X785" s="57"/>
    </row>
    <row r="786" spans="21:24" ht="21.6" customHeight="1">
      <c r="U786" s="57"/>
      <c r="V786" s="57"/>
      <c r="W786" s="57"/>
      <c r="X786" s="57"/>
    </row>
    <row r="787" spans="21:24" ht="21.6" customHeight="1">
      <c r="U787" s="57"/>
      <c r="V787" s="57"/>
      <c r="W787" s="57"/>
      <c r="X787" s="57"/>
    </row>
    <row r="788" spans="21:24" ht="21.6" customHeight="1">
      <c r="U788" s="57"/>
      <c r="V788" s="57"/>
      <c r="W788" s="57"/>
      <c r="X788" s="57"/>
    </row>
    <row r="789" spans="21:24" ht="21.6" customHeight="1">
      <c r="U789" s="57"/>
      <c r="V789" s="57"/>
      <c r="W789" s="57"/>
      <c r="X789" s="57"/>
    </row>
    <row r="790" spans="21:24" ht="21.6" customHeight="1">
      <c r="U790" s="57"/>
      <c r="V790" s="57"/>
      <c r="W790" s="57"/>
      <c r="X790" s="57"/>
    </row>
    <row r="791" spans="21:24" ht="21.6" customHeight="1">
      <c r="U791" s="57"/>
      <c r="V791" s="57"/>
      <c r="W791" s="57"/>
      <c r="X791" s="57"/>
    </row>
    <row r="792" spans="21:24" ht="21.6" customHeight="1">
      <c r="U792" s="57"/>
      <c r="V792" s="57"/>
      <c r="W792" s="57"/>
      <c r="X792" s="57"/>
    </row>
    <row r="793" spans="21:24" ht="21.6" customHeight="1">
      <c r="U793" s="57"/>
      <c r="V793" s="57"/>
      <c r="W793" s="57"/>
      <c r="X793" s="57"/>
    </row>
    <row r="794" spans="21:24" ht="21.6" customHeight="1">
      <c r="U794" s="57"/>
      <c r="V794" s="57"/>
      <c r="W794" s="57"/>
      <c r="X794" s="57"/>
    </row>
    <row r="795" spans="21:24" ht="21.6" customHeight="1">
      <c r="U795" s="57"/>
      <c r="V795" s="57"/>
      <c r="W795" s="57"/>
      <c r="X795" s="57"/>
    </row>
    <row r="796" spans="21:24" ht="21.6" customHeight="1">
      <c r="U796" s="57"/>
      <c r="V796" s="57"/>
      <c r="W796" s="57"/>
      <c r="X796" s="57"/>
    </row>
    <row r="797" spans="21:24" ht="21.6" customHeight="1">
      <c r="U797" s="57"/>
      <c r="V797" s="57"/>
      <c r="W797" s="57"/>
      <c r="X797" s="57"/>
    </row>
    <row r="798" spans="21:24" ht="21.6" customHeight="1">
      <c r="U798" s="57"/>
      <c r="V798" s="57"/>
      <c r="W798" s="57"/>
      <c r="X798" s="57"/>
    </row>
    <row r="799" spans="21:24" ht="21.6" customHeight="1">
      <c r="U799" s="57"/>
      <c r="V799" s="57"/>
      <c r="W799" s="57"/>
      <c r="X799" s="57"/>
    </row>
    <row r="800" spans="21:24" ht="21.6" customHeight="1">
      <c r="U800" s="57"/>
      <c r="V800" s="57"/>
      <c r="W800" s="57"/>
      <c r="X800" s="57"/>
    </row>
    <row r="801" spans="21:24" ht="21.6" customHeight="1">
      <c r="U801" s="57"/>
      <c r="V801" s="57"/>
      <c r="W801" s="57"/>
      <c r="X801" s="57"/>
    </row>
    <row r="802" spans="21:24" ht="21.6" customHeight="1">
      <c r="U802" s="57"/>
      <c r="V802" s="57"/>
      <c r="W802" s="57"/>
      <c r="X802" s="57"/>
    </row>
    <row r="803" spans="21:24" ht="21.6" customHeight="1">
      <c r="U803" s="57"/>
      <c r="V803" s="57"/>
      <c r="W803" s="57"/>
      <c r="X803" s="57"/>
    </row>
    <row r="804" spans="21:24" ht="21.6" customHeight="1">
      <c r="U804" s="57"/>
      <c r="V804" s="57"/>
      <c r="W804" s="57"/>
      <c r="X804" s="57"/>
    </row>
    <row r="805" spans="21:24" ht="21.6" customHeight="1">
      <c r="U805" s="57"/>
      <c r="V805" s="57"/>
      <c r="W805" s="57"/>
      <c r="X805" s="57"/>
    </row>
    <row r="806" spans="21:24" ht="21.6" customHeight="1">
      <c r="U806" s="57"/>
      <c r="V806" s="57"/>
      <c r="W806" s="57"/>
      <c r="X806" s="57"/>
    </row>
    <row r="807" spans="21:24" ht="21.6" customHeight="1">
      <c r="U807" s="57"/>
      <c r="V807" s="57"/>
      <c r="W807" s="57"/>
      <c r="X807" s="57"/>
    </row>
    <row r="808" spans="21:24" ht="21.6" customHeight="1">
      <c r="U808" s="57"/>
      <c r="V808" s="57"/>
      <c r="W808" s="57"/>
      <c r="X808" s="57"/>
    </row>
    <row r="809" spans="21:24" ht="21.6" customHeight="1">
      <c r="U809" s="57"/>
      <c r="V809" s="57"/>
      <c r="W809" s="57"/>
      <c r="X809" s="57"/>
    </row>
    <row r="810" spans="21:24" ht="21.6" customHeight="1">
      <c r="U810" s="57"/>
      <c r="V810" s="57"/>
      <c r="W810" s="57"/>
      <c r="X810" s="57"/>
    </row>
    <row r="811" spans="21:24" ht="21.6" customHeight="1">
      <c r="U811" s="57"/>
      <c r="V811" s="57"/>
      <c r="W811" s="57"/>
      <c r="X811" s="57"/>
    </row>
    <row r="812" spans="21:24" ht="21.6" customHeight="1">
      <c r="U812" s="57"/>
      <c r="V812" s="57"/>
      <c r="W812" s="57"/>
      <c r="X812" s="57"/>
    </row>
    <row r="813" spans="21:24" ht="21.6" customHeight="1">
      <c r="U813" s="57"/>
      <c r="V813" s="57"/>
      <c r="W813" s="57"/>
      <c r="X813" s="57"/>
    </row>
    <row r="814" spans="21:24" ht="21.6" customHeight="1">
      <c r="U814" s="57"/>
      <c r="V814" s="57"/>
      <c r="W814" s="57"/>
      <c r="X814" s="57"/>
    </row>
    <row r="815" spans="21:24" ht="21.6" customHeight="1">
      <c r="U815" s="57"/>
      <c r="V815" s="57"/>
      <c r="W815" s="57"/>
      <c r="X815" s="57"/>
    </row>
    <row r="816" spans="21:24" ht="21.6" customHeight="1">
      <c r="U816" s="57"/>
      <c r="V816" s="57"/>
      <c r="W816" s="57"/>
      <c r="X816" s="57"/>
    </row>
    <row r="817" spans="21:24" ht="21.6" customHeight="1">
      <c r="U817" s="57"/>
      <c r="V817" s="57"/>
      <c r="W817" s="57"/>
      <c r="X817" s="57"/>
    </row>
    <row r="818" spans="21:24" ht="21.6" customHeight="1">
      <c r="U818" s="57"/>
      <c r="V818" s="57"/>
      <c r="W818" s="57"/>
      <c r="X818" s="57"/>
    </row>
    <row r="819" spans="21:24" ht="21.6" customHeight="1">
      <c r="U819" s="57"/>
      <c r="V819" s="57"/>
      <c r="W819" s="57"/>
      <c r="X819" s="57"/>
    </row>
    <row r="820" spans="21:24" ht="21.6" customHeight="1">
      <c r="U820" s="57"/>
      <c r="V820" s="57"/>
      <c r="W820" s="57"/>
      <c r="X820" s="57"/>
    </row>
    <row r="821" spans="21:24" ht="21.6" customHeight="1">
      <c r="U821" s="57"/>
      <c r="V821" s="57"/>
      <c r="W821" s="57"/>
      <c r="X821" s="57"/>
    </row>
    <row r="822" spans="21:24" ht="21.6" customHeight="1">
      <c r="U822" s="57"/>
      <c r="V822" s="57"/>
      <c r="W822" s="57"/>
      <c r="X822" s="57"/>
    </row>
    <row r="823" spans="21:24" ht="21.6" customHeight="1">
      <c r="U823" s="57"/>
      <c r="V823" s="57"/>
      <c r="W823" s="57"/>
      <c r="X823" s="57"/>
    </row>
    <row r="824" spans="21:24" ht="21.6" customHeight="1">
      <c r="U824" s="57"/>
      <c r="V824" s="57"/>
      <c r="W824" s="57"/>
      <c r="X824" s="57"/>
    </row>
    <row r="825" spans="21:24" ht="21.6" customHeight="1">
      <c r="U825" s="57"/>
      <c r="V825" s="57"/>
      <c r="W825" s="57"/>
      <c r="X825" s="57"/>
    </row>
    <row r="826" spans="21:24" ht="21.6" customHeight="1">
      <c r="U826" s="57"/>
      <c r="V826" s="57"/>
      <c r="W826" s="57"/>
      <c r="X826" s="57"/>
    </row>
    <row r="827" spans="21:24" ht="21.6" customHeight="1">
      <c r="U827" s="57"/>
      <c r="V827" s="57"/>
      <c r="W827" s="57"/>
      <c r="X827" s="57"/>
    </row>
    <row r="828" spans="21:24" ht="21.6" customHeight="1">
      <c r="U828" s="57"/>
      <c r="V828" s="57"/>
      <c r="W828" s="57"/>
      <c r="X828" s="57"/>
    </row>
    <row r="829" spans="21:24" ht="21.6" customHeight="1">
      <c r="U829" s="57"/>
      <c r="V829" s="57"/>
      <c r="W829" s="57"/>
      <c r="X829" s="57"/>
    </row>
    <row r="830" spans="21:24" ht="21.6" customHeight="1">
      <c r="U830" s="57"/>
      <c r="V830" s="57"/>
      <c r="W830" s="57"/>
      <c r="X830" s="57"/>
    </row>
    <row r="831" spans="21:24" ht="21.6" customHeight="1">
      <c r="U831" s="57"/>
      <c r="V831" s="57"/>
      <c r="W831" s="57"/>
      <c r="X831" s="57"/>
    </row>
    <row r="832" spans="21:24" ht="21.6" customHeight="1">
      <c r="U832" s="57"/>
      <c r="V832" s="57"/>
      <c r="W832" s="57"/>
      <c r="X832" s="57"/>
    </row>
    <row r="833" spans="21:24" ht="21.6" customHeight="1">
      <c r="U833" s="57"/>
      <c r="V833" s="57"/>
      <c r="W833" s="57"/>
      <c r="X833" s="57"/>
    </row>
    <row r="834" spans="21:24" ht="21.6" customHeight="1">
      <c r="U834" s="57"/>
      <c r="V834" s="57"/>
      <c r="W834" s="57"/>
      <c r="X834" s="57"/>
    </row>
    <row r="835" spans="21:24" ht="21.6" customHeight="1">
      <c r="U835" s="57"/>
      <c r="V835" s="57"/>
      <c r="W835" s="57"/>
      <c r="X835" s="57"/>
    </row>
    <row r="836" spans="21:24" ht="21.6" customHeight="1">
      <c r="U836" s="57"/>
      <c r="V836" s="57"/>
      <c r="W836" s="57"/>
      <c r="X836" s="57"/>
    </row>
    <row r="837" spans="21:24" ht="21.6" customHeight="1">
      <c r="U837" s="57"/>
      <c r="V837" s="57"/>
      <c r="W837" s="57"/>
      <c r="X837" s="57"/>
    </row>
    <row r="838" spans="21:24" ht="21.6" customHeight="1">
      <c r="U838" s="57"/>
      <c r="V838" s="57"/>
      <c r="W838" s="57"/>
      <c r="X838" s="57"/>
    </row>
    <row r="839" spans="21:24" ht="21.6" customHeight="1">
      <c r="U839" s="57"/>
      <c r="V839" s="57"/>
      <c r="W839" s="57"/>
      <c r="X839" s="57"/>
    </row>
    <row r="840" spans="21:24" ht="21.6" customHeight="1">
      <c r="U840" s="57"/>
      <c r="V840" s="57"/>
      <c r="W840" s="57"/>
      <c r="X840" s="57"/>
    </row>
    <row r="841" spans="21:24" ht="21.6" customHeight="1">
      <c r="U841" s="57"/>
      <c r="V841" s="57"/>
      <c r="W841" s="57"/>
      <c r="X841" s="57"/>
    </row>
    <row r="842" spans="21:24" ht="21.6" customHeight="1">
      <c r="U842" s="57"/>
      <c r="V842" s="57"/>
      <c r="W842" s="57"/>
      <c r="X842" s="57"/>
    </row>
    <row r="843" spans="21:24" ht="21.6" customHeight="1">
      <c r="U843" s="57"/>
      <c r="V843" s="57"/>
      <c r="W843" s="57"/>
      <c r="X843" s="57"/>
    </row>
    <row r="844" spans="21:24" ht="21.6" customHeight="1">
      <c r="U844" s="57"/>
      <c r="V844" s="57"/>
      <c r="W844" s="57"/>
      <c r="X844" s="57"/>
    </row>
    <row r="845" spans="21:24" ht="21.6" customHeight="1">
      <c r="U845" s="57"/>
      <c r="V845" s="57"/>
      <c r="W845" s="57"/>
      <c r="X845" s="57"/>
    </row>
    <row r="846" spans="21:24" ht="21.6" customHeight="1">
      <c r="U846" s="57"/>
      <c r="V846" s="57"/>
      <c r="W846" s="57"/>
      <c r="X846" s="57"/>
    </row>
    <row r="847" spans="21:24" ht="21.6" customHeight="1">
      <c r="U847" s="57"/>
      <c r="V847" s="57"/>
      <c r="W847" s="57"/>
      <c r="X847" s="57"/>
    </row>
    <row r="848" spans="21:24" ht="21.6" customHeight="1">
      <c r="U848" s="57"/>
      <c r="V848" s="57"/>
      <c r="W848" s="57"/>
      <c r="X848" s="57"/>
    </row>
    <row r="849" spans="21:24" ht="21.6" customHeight="1">
      <c r="U849" s="57"/>
      <c r="V849" s="57"/>
      <c r="W849" s="57"/>
      <c r="X849" s="57"/>
    </row>
    <row r="850" spans="21:24" ht="21.6" customHeight="1">
      <c r="U850" s="57"/>
      <c r="V850" s="57"/>
      <c r="W850" s="57"/>
      <c r="X850" s="57"/>
    </row>
    <row r="851" spans="21:24" ht="21.6" customHeight="1">
      <c r="U851" s="57"/>
      <c r="V851" s="57"/>
      <c r="W851" s="57"/>
      <c r="X851" s="57"/>
    </row>
    <row r="852" spans="21:24" ht="21.6" customHeight="1">
      <c r="U852" s="57"/>
      <c r="V852" s="57"/>
      <c r="W852" s="57"/>
      <c r="X852" s="57"/>
    </row>
    <row r="853" spans="21:24" ht="21.6" customHeight="1">
      <c r="U853" s="57"/>
      <c r="V853" s="57"/>
      <c r="W853" s="57"/>
      <c r="X853" s="57"/>
    </row>
    <row r="854" spans="21:24" ht="21.6" customHeight="1">
      <c r="U854" s="57"/>
      <c r="V854" s="57"/>
      <c r="W854" s="57"/>
      <c r="X854" s="57"/>
    </row>
    <row r="855" spans="21:24" ht="21.6" customHeight="1">
      <c r="U855" s="57"/>
      <c r="V855" s="57"/>
      <c r="W855" s="57"/>
      <c r="X855" s="57"/>
    </row>
    <row r="856" spans="21:24" ht="21.6" customHeight="1">
      <c r="U856" s="57"/>
      <c r="V856" s="57"/>
      <c r="W856" s="57"/>
      <c r="X856" s="57"/>
    </row>
    <row r="857" spans="21:24" ht="21.6" customHeight="1">
      <c r="U857" s="57"/>
      <c r="V857" s="57"/>
      <c r="W857" s="57"/>
      <c r="X857" s="57"/>
    </row>
    <row r="858" spans="21:24" ht="21.6" customHeight="1">
      <c r="U858" s="57"/>
      <c r="V858" s="57"/>
      <c r="W858" s="57"/>
      <c r="X858" s="57"/>
    </row>
    <row r="859" spans="21:24" ht="21.6" customHeight="1">
      <c r="U859" s="57"/>
      <c r="V859" s="57"/>
      <c r="W859" s="57"/>
      <c r="X859" s="57"/>
    </row>
    <row r="860" spans="21:24" ht="21.6" customHeight="1">
      <c r="U860" s="57"/>
      <c r="V860" s="57"/>
      <c r="W860" s="57"/>
      <c r="X860" s="57"/>
    </row>
    <row r="861" spans="21:24" ht="21.6" customHeight="1">
      <c r="U861" s="57"/>
      <c r="V861" s="57"/>
      <c r="W861" s="57"/>
      <c r="X861" s="57"/>
    </row>
    <row r="862" spans="21:24" ht="21.6" customHeight="1">
      <c r="U862" s="57"/>
      <c r="V862" s="57"/>
      <c r="W862" s="57"/>
      <c r="X862" s="57"/>
    </row>
    <row r="863" spans="21:24" ht="21.6" customHeight="1">
      <c r="U863" s="57"/>
      <c r="V863" s="57"/>
      <c r="W863" s="57"/>
      <c r="X863" s="57"/>
    </row>
    <row r="864" spans="21:24" ht="21.6" customHeight="1">
      <c r="U864" s="57"/>
      <c r="V864" s="57"/>
      <c r="W864" s="57"/>
      <c r="X864" s="57"/>
    </row>
    <row r="865" spans="21:24" ht="21.6" customHeight="1">
      <c r="U865" s="57"/>
      <c r="V865" s="57"/>
      <c r="W865" s="57"/>
      <c r="X865" s="57"/>
    </row>
    <row r="866" spans="21:24" ht="21.6" customHeight="1">
      <c r="U866" s="57"/>
      <c r="V866" s="57"/>
      <c r="W866" s="57"/>
      <c r="X866" s="57"/>
    </row>
    <row r="867" spans="21:24" ht="21.6" customHeight="1">
      <c r="U867" s="57"/>
      <c r="V867" s="57"/>
      <c r="W867" s="57"/>
      <c r="X867" s="57"/>
    </row>
    <row r="868" spans="21:24" ht="21.6" customHeight="1">
      <c r="U868" s="57"/>
      <c r="V868" s="57"/>
      <c r="W868" s="57"/>
      <c r="X868" s="57"/>
    </row>
    <row r="869" spans="21:24" ht="21.6" customHeight="1">
      <c r="U869" s="57"/>
      <c r="V869" s="57"/>
      <c r="W869" s="57"/>
      <c r="X869" s="57"/>
    </row>
    <row r="870" spans="21:24" ht="21.6" customHeight="1">
      <c r="U870" s="57"/>
      <c r="V870" s="57"/>
      <c r="W870" s="57"/>
      <c r="X870" s="57"/>
    </row>
    <row r="871" spans="21:24" ht="21.6" customHeight="1">
      <c r="U871" s="57"/>
      <c r="V871" s="57"/>
      <c r="W871" s="57"/>
      <c r="X871" s="57"/>
    </row>
    <row r="872" spans="21:24" ht="21.6" customHeight="1">
      <c r="U872" s="57"/>
      <c r="V872" s="57"/>
      <c r="W872" s="57"/>
      <c r="X872" s="57"/>
    </row>
    <row r="873" spans="21:24" ht="21.6" customHeight="1">
      <c r="U873" s="57"/>
      <c r="V873" s="57"/>
      <c r="W873" s="57"/>
      <c r="X873" s="57"/>
    </row>
    <row r="874" spans="21:24" ht="21.6" customHeight="1">
      <c r="U874" s="57"/>
      <c r="V874" s="57"/>
      <c r="W874" s="57"/>
      <c r="X874" s="57"/>
    </row>
    <row r="875" spans="21:24" ht="21.6" customHeight="1">
      <c r="U875" s="57"/>
      <c r="V875" s="57"/>
      <c r="W875" s="57"/>
      <c r="X875" s="57"/>
    </row>
    <row r="876" spans="21:24" ht="21.6" customHeight="1">
      <c r="U876" s="57"/>
      <c r="V876" s="57"/>
      <c r="W876" s="57"/>
      <c r="X876" s="57"/>
    </row>
    <row r="877" spans="21:24" ht="21.6" customHeight="1">
      <c r="U877" s="57"/>
      <c r="V877" s="57"/>
      <c r="W877" s="57"/>
      <c r="X877" s="57"/>
    </row>
    <row r="878" spans="21:24" ht="21.6" customHeight="1">
      <c r="U878" s="57"/>
      <c r="V878" s="57"/>
      <c r="W878" s="57"/>
      <c r="X878" s="57"/>
    </row>
    <row r="879" spans="21:24" ht="21.6" customHeight="1">
      <c r="U879" s="57"/>
      <c r="V879" s="57"/>
      <c r="W879" s="57"/>
      <c r="X879" s="57"/>
    </row>
    <row r="880" spans="21:24" ht="21.6" customHeight="1">
      <c r="U880" s="57"/>
      <c r="V880" s="57"/>
      <c r="W880" s="57"/>
      <c r="X880" s="57"/>
    </row>
    <row r="881" spans="21:24" ht="21.6" customHeight="1">
      <c r="U881" s="57"/>
      <c r="V881" s="57"/>
      <c r="W881" s="57"/>
      <c r="X881" s="57"/>
    </row>
    <row r="882" spans="21:24" ht="21.6" customHeight="1">
      <c r="U882" s="57"/>
      <c r="V882" s="57"/>
      <c r="W882" s="57"/>
      <c r="X882" s="57"/>
    </row>
    <row r="883" spans="21:24" ht="21.6" customHeight="1">
      <c r="U883" s="57"/>
      <c r="V883" s="57"/>
      <c r="W883" s="57"/>
      <c r="X883" s="57"/>
    </row>
    <row r="884" spans="21:24" ht="21.6" customHeight="1">
      <c r="U884" s="57"/>
      <c r="V884" s="57"/>
      <c r="W884" s="57"/>
      <c r="X884" s="57"/>
    </row>
    <row r="885" spans="21:24" ht="21.6" customHeight="1">
      <c r="U885" s="57"/>
      <c r="V885" s="57"/>
      <c r="W885" s="57"/>
      <c r="X885" s="57"/>
    </row>
    <row r="886" spans="21:24" ht="21.6" customHeight="1">
      <c r="U886" s="57"/>
      <c r="V886" s="57"/>
      <c r="W886" s="57"/>
      <c r="X886" s="57"/>
    </row>
    <row r="887" spans="21:24" ht="21.6" customHeight="1">
      <c r="U887" s="57"/>
      <c r="V887" s="57"/>
      <c r="W887" s="57"/>
      <c r="X887" s="57"/>
    </row>
    <row r="888" spans="21:24" ht="21.6" customHeight="1">
      <c r="U888" s="57"/>
      <c r="V888" s="57"/>
      <c r="W888" s="57"/>
      <c r="X888" s="57"/>
    </row>
    <row r="889" spans="21:24" ht="21.6" customHeight="1">
      <c r="U889" s="57"/>
      <c r="V889" s="57"/>
      <c r="W889" s="57"/>
      <c r="X889" s="57"/>
    </row>
    <row r="890" spans="21:24" ht="21.6" customHeight="1">
      <c r="U890" s="57"/>
      <c r="V890" s="57"/>
      <c r="W890" s="57"/>
      <c r="X890" s="57"/>
    </row>
    <row r="891" spans="21:24" ht="21.6" customHeight="1">
      <c r="U891" s="57"/>
      <c r="V891" s="57"/>
      <c r="W891" s="57"/>
      <c r="X891" s="57"/>
    </row>
    <row r="892" spans="21:24" ht="21.6" customHeight="1">
      <c r="U892" s="57"/>
      <c r="V892" s="57"/>
      <c r="W892" s="57"/>
      <c r="X892" s="57"/>
    </row>
    <row r="893" spans="21:24" ht="21.6" customHeight="1">
      <c r="U893" s="57"/>
      <c r="V893" s="57"/>
      <c r="W893" s="57"/>
      <c r="X893" s="57"/>
    </row>
    <row r="894" spans="21:24" ht="21.6" customHeight="1">
      <c r="U894" s="57"/>
      <c r="V894" s="57"/>
      <c r="W894" s="57"/>
      <c r="X894" s="57"/>
    </row>
    <row r="895" spans="21:24" ht="21.6" customHeight="1">
      <c r="U895" s="57"/>
      <c r="V895" s="57"/>
      <c r="W895" s="57"/>
      <c r="X895" s="57"/>
    </row>
    <row r="896" spans="21:24" ht="21.6" customHeight="1">
      <c r="U896" s="57"/>
      <c r="V896" s="57"/>
      <c r="W896" s="57"/>
      <c r="X896" s="57"/>
    </row>
    <row r="897" spans="21:24" ht="21.6" customHeight="1">
      <c r="U897" s="57"/>
      <c r="V897" s="57"/>
      <c r="W897" s="57"/>
      <c r="X897" s="57"/>
    </row>
    <row r="898" spans="21:24" ht="21.6" customHeight="1">
      <c r="U898" s="57"/>
      <c r="V898" s="57"/>
      <c r="W898" s="57"/>
      <c r="X898" s="57"/>
    </row>
    <row r="899" spans="21:24" ht="21.6" customHeight="1">
      <c r="U899" s="57"/>
      <c r="V899" s="57"/>
      <c r="W899" s="57"/>
      <c r="X899" s="57"/>
    </row>
    <row r="900" spans="21:24" ht="21.6" customHeight="1">
      <c r="U900" s="57"/>
      <c r="V900" s="57"/>
      <c r="W900" s="57"/>
      <c r="X900" s="57"/>
    </row>
    <row r="901" spans="21:24" ht="21.6" customHeight="1">
      <c r="U901" s="57"/>
      <c r="V901" s="57"/>
      <c r="W901" s="57"/>
      <c r="X901" s="57"/>
    </row>
    <row r="902" spans="21:24" ht="21.6" customHeight="1">
      <c r="U902" s="57"/>
      <c r="V902" s="57"/>
      <c r="W902" s="57"/>
      <c r="X902" s="57"/>
    </row>
    <row r="903" spans="21:24" ht="21.6" customHeight="1">
      <c r="U903" s="57"/>
      <c r="V903" s="57"/>
      <c r="W903" s="57"/>
      <c r="X903" s="57"/>
    </row>
    <row r="904" spans="21:24" ht="21.6" customHeight="1">
      <c r="U904" s="57"/>
      <c r="V904" s="57"/>
      <c r="W904" s="57"/>
      <c r="X904" s="57"/>
    </row>
    <row r="905" spans="21:24" ht="21.6" customHeight="1">
      <c r="U905" s="57"/>
      <c r="V905" s="57"/>
      <c r="W905" s="57"/>
      <c r="X905" s="57"/>
    </row>
    <row r="906" spans="21:24" ht="21.6" customHeight="1">
      <c r="U906" s="57"/>
      <c r="V906" s="57"/>
      <c r="W906" s="57"/>
      <c r="X906" s="57"/>
    </row>
    <row r="907" spans="21:24" ht="21.6" customHeight="1">
      <c r="U907" s="57"/>
      <c r="V907" s="57"/>
      <c r="W907" s="57"/>
      <c r="X907" s="57"/>
    </row>
    <row r="908" spans="21:24" ht="21.6" customHeight="1">
      <c r="U908" s="57"/>
      <c r="V908" s="57"/>
      <c r="W908" s="57"/>
      <c r="X908" s="57"/>
    </row>
    <row r="909" spans="21:24" ht="21.6" customHeight="1">
      <c r="U909" s="57"/>
      <c r="V909" s="57"/>
      <c r="W909" s="57"/>
      <c r="X909" s="57"/>
    </row>
    <row r="910" spans="21:24" ht="21.6" customHeight="1">
      <c r="U910" s="57"/>
      <c r="V910" s="57"/>
      <c r="W910" s="57"/>
      <c r="X910" s="57"/>
    </row>
    <row r="911" spans="21:24" ht="21.6" customHeight="1">
      <c r="U911" s="57"/>
      <c r="V911" s="57"/>
      <c r="W911" s="57"/>
      <c r="X911" s="57"/>
    </row>
    <row r="912" spans="21:24" ht="21.6" customHeight="1">
      <c r="U912" s="57"/>
      <c r="V912" s="57"/>
      <c r="W912" s="57"/>
      <c r="X912" s="57"/>
    </row>
    <row r="913" spans="21:24" ht="21.6" customHeight="1">
      <c r="U913" s="57"/>
      <c r="V913" s="57"/>
      <c r="W913" s="57"/>
      <c r="X913" s="57"/>
    </row>
    <row r="914" spans="21:24" ht="21.6" customHeight="1">
      <c r="U914" s="57"/>
      <c r="V914" s="57"/>
      <c r="W914" s="57"/>
      <c r="X914" s="57"/>
    </row>
    <row r="915" spans="21:24" ht="21.6" customHeight="1">
      <c r="U915" s="57"/>
      <c r="V915" s="57"/>
      <c r="W915" s="57"/>
      <c r="X915" s="57"/>
    </row>
    <row r="916" spans="21:24" ht="21.6" customHeight="1">
      <c r="U916" s="57"/>
      <c r="V916" s="57"/>
      <c r="W916" s="57"/>
      <c r="X916" s="57"/>
    </row>
    <row r="917" spans="21:24" ht="21.6" customHeight="1">
      <c r="U917" s="57"/>
      <c r="V917" s="57"/>
      <c r="W917" s="57"/>
      <c r="X917" s="57"/>
    </row>
    <row r="918" spans="21:24" ht="21.6" customHeight="1">
      <c r="U918" s="57"/>
      <c r="V918" s="57"/>
      <c r="W918" s="57"/>
      <c r="X918" s="57"/>
    </row>
    <row r="919" spans="21:24" ht="21.6" customHeight="1">
      <c r="U919" s="57"/>
      <c r="V919" s="57"/>
      <c r="W919" s="57"/>
      <c r="X919" s="57"/>
    </row>
    <row r="920" spans="21:24" ht="21.6" customHeight="1">
      <c r="U920" s="57"/>
      <c r="V920" s="57"/>
      <c r="W920" s="57"/>
      <c r="X920" s="57"/>
    </row>
    <row r="921" spans="21:24" ht="21.6" customHeight="1">
      <c r="U921" s="57"/>
      <c r="V921" s="57"/>
      <c r="W921" s="57"/>
      <c r="X921" s="57"/>
    </row>
    <row r="922" spans="21:24" ht="21.6" customHeight="1">
      <c r="U922" s="57"/>
      <c r="V922" s="57"/>
      <c r="W922" s="57"/>
      <c r="X922" s="57"/>
    </row>
    <row r="923" spans="21:24" ht="21.6" customHeight="1">
      <c r="U923" s="57"/>
      <c r="V923" s="57"/>
      <c r="W923" s="57"/>
      <c r="X923" s="57"/>
    </row>
    <row r="924" spans="21:24" ht="21.6" customHeight="1">
      <c r="U924" s="57"/>
      <c r="V924" s="57"/>
      <c r="W924" s="57"/>
      <c r="X924" s="57"/>
    </row>
    <row r="925" spans="21:24" ht="21.6" customHeight="1">
      <c r="U925" s="57"/>
      <c r="V925" s="57"/>
      <c r="W925" s="57"/>
      <c r="X925" s="57"/>
    </row>
    <row r="926" spans="21:24" ht="21.6" customHeight="1">
      <c r="U926" s="57"/>
      <c r="V926" s="57"/>
      <c r="W926" s="57"/>
      <c r="X926" s="57"/>
    </row>
    <row r="927" spans="21:24" ht="21.6" customHeight="1">
      <c r="U927" s="57"/>
      <c r="V927" s="57"/>
      <c r="W927" s="57"/>
      <c r="X927" s="57"/>
    </row>
    <row r="928" spans="21:24" ht="21.6" customHeight="1">
      <c r="U928" s="57"/>
      <c r="V928" s="57"/>
      <c r="W928" s="57"/>
      <c r="X928" s="57"/>
    </row>
    <row r="929" spans="21:24" ht="21.6" customHeight="1">
      <c r="U929" s="57"/>
      <c r="V929" s="57"/>
      <c r="W929" s="57"/>
      <c r="X929" s="57"/>
    </row>
    <row r="930" spans="21:24" ht="21.6" customHeight="1">
      <c r="U930" s="57"/>
      <c r="V930" s="57"/>
      <c r="W930" s="57"/>
      <c r="X930" s="57"/>
    </row>
    <row r="931" spans="21:24" ht="21.6" customHeight="1">
      <c r="U931" s="57"/>
      <c r="V931" s="57"/>
      <c r="W931" s="57"/>
      <c r="X931" s="57"/>
    </row>
    <row r="932" spans="21:24" ht="21.6" customHeight="1">
      <c r="U932" s="57"/>
      <c r="V932" s="57"/>
      <c r="W932" s="57"/>
      <c r="X932" s="57"/>
    </row>
    <row r="933" spans="21:24" ht="21.6" customHeight="1">
      <c r="U933" s="57"/>
      <c r="V933" s="57"/>
      <c r="W933" s="57"/>
      <c r="X933" s="57"/>
    </row>
    <row r="934" spans="21:24" ht="21.6" customHeight="1">
      <c r="U934" s="57"/>
      <c r="V934" s="57"/>
      <c r="W934" s="57"/>
      <c r="X934" s="57"/>
    </row>
    <row r="935" spans="21:24" ht="21.6" customHeight="1">
      <c r="U935" s="57"/>
      <c r="V935" s="57"/>
      <c r="W935" s="57"/>
      <c r="X935" s="57"/>
    </row>
    <row r="936" spans="21:24" ht="21.6" customHeight="1">
      <c r="U936" s="57"/>
      <c r="V936" s="57"/>
      <c r="W936" s="57"/>
      <c r="X936" s="57"/>
    </row>
    <row r="937" spans="21:24" ht="21.6" customHeight="1">
      <c r="U937" s="57"/>
      <c r="V937" s="57"/>
      <c r="W937" s="57"/>
      <c r="X937" s="57"/>
    </row>
    <row r="938" spans="21:24" ht="21.6" customHeight="1">
      <c r="U938" s="57"/>
      <c r="V938" s="57"/>
      <c r="W938" s="57"/>
      <c r="X938" s="57"/>
    </row>
    <row r="939" spans="21:24" ht="21.6" customHeight="1">
      <c r="U939" s="57"/>
      <c r="V939" s="57"/>
      <c r="W939" s="57"/>
      <c r="X939" s="57"/>
    </row>
    <row r="940" spans="21:24" ht="21.6" customHeight="1">
      <c r="U940" s="57"/>
      <c r="V940" s="57"/>
      <c r="W940" s="57"/>
      <c r="X940" s="57"/>
    </row>
    <row r="941" spans="21:24" ht="21.6" customHeight="1">
      <c r="U941" s="57"/>
      <c r="V941" s="57"/>
      <c r="W941" s="57"/>
      <c r="X941" s="57"/>
    </row>
    <row r="942" spans="21:24" ht="21.6" customHeight="1">
      <c r="U942" s="57"/>
      <c r="V942" s="57"/>
      <c r="W942" s="57"/>
      <c r="X942" s="57"/>
    </row>
    <row r="943" spans="21:24" ht="21.6" customHeight="1">
      <c r="U943" s="57"/>
      <c r="V943" s="57"/>
      <c r="W943" s="57"/>
      <c r="X943" s="57"/>
    </row>
    <row r="944" spans="21:24" ht="21.6" customHeight="1">
      <c r="U944" s="57"/>
      <c r="V944" s="57"/>
      <c r="W944" s="57"/>
      <c r="X944" s="57"/>
    </row>
    <row r="945" spans="21:24" ht="21.6" customHeight="1">
      <c r="U945" s="57"/>
      <c r="V945" s="57"/>
      <c r="W945" s="57"/>
      <c r="X945" s="57"/>
    </row>
    <row r="946" spans="21:24" ht="21.6" customHeight="1">
      <c r="U946" s="57"/>
      <c r="V946" s="57"/>
      <c r="W946" s="57"/>
      <c r="X946" s="57"/>
    </row>
    <row r="947" spans="21:24" ht="21.6" customHeight="1">
      <c r="U947" s="57"/>
      <c r="V947" s="57"/>
      <c r="W947" s="57"/>
      <c r="X947" s="57"/>
    </row>
    <row r="948" spans="21:24" ht="21.6" customHeight="1">
      <c r="U948" s="57"/>
      <c r="V948" s="57"/>
      <c r="W948" s="57"/>
      <c r="X948" s="57"/>
    </row>
    <row r="949" spans="21:24" ht="21.6" customHeight="1">
      <c r="U949" s="57"/>
      <c r="V949" s="57"/>
      <c r="W949" s="57"/>
      <c r="X949" s="57"/>
    </row>
    <row r="950" spans="21:24" ht="21.6" customHeight="1">
      <c r="U950" s="57"/>
      <c r="V950" s="57"/>
      <c r="W950" s="57"/>
      <c r="X950" s="57"/>
    </row>
    <row r="951" spans="21:24" ht="21.6" customHeight="1">
      <c r="U951" s="57"/>
      <c r="V951" s="57"/>
      <c r="W951" s="57"/>
      <c r="X951" s="57"/>
    </row>
    <row r="952" spans="21:24" ht="21.6" customHeight="1">
      <c r="U952" s="57"/>
      <c r="V952" s="57"/>
      <c r="W952" s="57"/>
      <c r="X952" s="57"/>
    </row>
    <row r="953" spans="21:24" ht="21.6" customHeight="1">
      <c r="U953" s="57"/>
      <c r="V953" s="57"/>
      <c r="W953" s="57"/>
      <c r="X953" s="57"/>
    </row>
    <row r="954" spans="21:24" ht="21.6" customHeight="1">
      <c r="U954" s="57"/>
      <c r="V954" s="57"/>
      <c r="W954" s="57"/>
      <c r="X954" s="57"/>
    </row>
    <row r="955" spans="21:24" ht="21.6" customHeight="1">
      <c r="U955" s="57"/>
      <c r="V955" s="57"/>
      <c r="W955" s="57"/>
      <c r="X955" s="57"/>
    </row>
    <row r="956" spans="21:24" ht="21.6" customHeight="1">
      <c r="U956" s="57"/>
      <c r="V956" s="57"/>
      <c r="W956" s="57"/>
      <c r="X956" s="57"/>
    </row>
    <row r="957" spans="21:24" ht="21.6" customHeight="1">
      <c r="U957" s="57"/>
      <c r="V957" s="57"/>
      <c r="W957" s="57"/>
      <c r="X957" s="57"/>
    </row>
    <row r="958" spans="21:24" ht="21.6" customHeight="1">
      <c r="U958" s="57"/>
      <c r="V958" s="57"/>
      <c r="W958" s="57"/>
      <c r="X958" s="57"/>
    </row>
    <row r="959" spans="21:24" ht="21.6" customHeight="1">
      <c r="U959" s="57"/>
      <c r="V959" s="57"/>
      <c r="W959" s="57"/>
      <c r="X959" s="57"/>
    </row>
    <row r="960" spans="21:24" ht="21.6" customHeight="1">
      <c r="U960" s="57"/>
      <c r="V960" s="57"/>
      <c r="W960" s="57"/>
      <c r="X960" s="57"/>
    </row>
    <row r="961" spans="21:24" ht="21.6" customHeight="1">
      <c r="U961" s="57"/>
      <c r="V961" s="57"/>
      <c r="W961" s="57"/>
      <c r="X961" s="57"/>
    </row>
    <row r="962" spans="21:24" ht="21.6" customHeight="1">
      <c r="U962" s="57"/>
      <c r="V962" s="57"/>
      <c r="W962" s="57"/>
      <c r="X962" s="57"/>
    </row>
    <row r="963" spans="21:24" ht="21.6" customHeight="1">
      <c r="U963" s="57"/>
      <c r="V963" s="57"/>
      <c r="W963" s="57"/>
      <c r="X963" s="57"/>
    </row>
    <row r="964" spans="21:24" ht="21.6" customHeight="1">
      <c r="U964" s="57"/>
      <c r="V964" s="57"/>
      <c r="W964" s="57"/>
      <c r="X964" s="57"/>
    </row>
    <row r="965" spans="21:24" ht="21.6" customHeight="1">
      <c r="U965" s="57"/>
      <c r="V965" s="57"/>
      <c r="W965" s="57"/>
      <c r="X965" s="57"/>
    </row>
    <row r="966" spans="21:24" ht="21.6" customHeight="1">
      <c r="U966" s="57"/>
      <c r="V966" s="57"/>
      <c r="W966" s="57"/>
      <c r="X966" s="57"/>
    </row>
    <row r="967" spans="21:24" ht="21.6" customHeight="1">
      <c r="U967" s="57"/>
      <c r="V967" s="57"/>
      <c r="W967" s="57"/>
      <c r="X967" s="57"/>
    </row>
    <row r="968" spans="21:24" ht="21.6" customHeight="1">
      <c r="U968" s="57"/>
      <c r="V968" s="57"/>
      <c r="W968" s="57"/>
      <c r="X968" s="57"/>
    </row>
    <row r="969" spans="21:24" ht="21.6" customHeight="1">
      <c r="U969" s="57"/>
      <c r="V969" s="57"/>
      <c r="W969" s="57"/>
      <c r="X969" s="57"/>
    </row>
    <row r="970" spans="21:24" ht="21.6" customHeight="1">
      <c r="U970" s="57"/>
      <c r="V970" s="57"/>
      <c r="W970" s="57"/>
      <c r="X970" s="57"/>
    </row>
    <row r="971" spans="21:24" ht="21.6" customHeight="1">
      <c r="U971" s="57"/>
      <c r="V971" s="57"/>
      <c r="W971" s="57"/>
      <c r="X971" s="57"/>
    </row>
    <row r="972" spans="21:24" ht="21.6" customHeight="1">
      <c r="U972" s="57"/>
      <c r="V972" s="57"/>
      <c r="W972" s="57"/>
      <c r="X972" s="57"/>
    </row>
    <row r="973" spans="21:24" ht="21.6" customHeight="1">
      <c r="U973" s="57"/>
      <c r="V973" s="57"/>
      <c r="W973" s="57"/>
      <c r="X973" s="57"/>
    </row>
    <row r="974" spans="21:24" ht="21.6" customHeight="1">
      <c r="U974" s="57"/>
      <c r="V974" s="57"/>
      <c r="W974" s="57"/>
      <c r="X974" s="57"/>
    </row>
    <row r="975" spans="21:24" ht="21.6" customHeight="1">
      <c r="U975" s="57"/>
      <c r="V975" s="57"/>
      <c r="W975" s="57"/>
      <c r="X975" s="57"/>
    </row>
    <row r="976" spans="21:24" ht="21.6" customHeight="1">
      <c r="U976" s="57"/>
      <c r="V976" s="57"/>
      <c r="W976" s="57"/>
      <c r="X976" s="57"/>
    </row>
    <row r="977" spans="21:24" ht="21.6" customHeight="1">
      <c r="U977" s="57"/>
      <c r="V977" s="57"/>
      <c r="W977" s="57"/>
      <c r="X977" s="57"/>
    </row>
    <row r="978" spans="21:24" ht="21.6" customHeight="1">
      <c r="U978" s="57"/>
      <c r="V978" s="57"/>
      <c r="W978" s="57"/>
      <c r="X978" s="57"/>
    </row>
    <row r="979" spans="21:24" ht="21.6" customHeight="1">
      <c r="U979" s="57"/>
      <c r="V979" s="57"/>
      <c r="W979" s="57"/>
      <c r="X979" s="57"/>
    </row>
    <row r="980" spans="21:24" ht="21.6" customHeight="1">
      <c r="U980" s="57"/>
      <c r="V980" s="57"/>
      <c r="W980" s="57"/>
      <c r="X980" s="57"/>
    </row>
    <row r="981" spans="21:24" ht="21.6" customHeight="1">
      <c r="U981" s="57"/>
      <c r="V981" s="57"/>
      <c r="W981" s="57"/>
      <c r="X981" s="57"/>
    </row>
    <row r="982" spans="21:24" ht="21.6" customHeight="1">
      <c r="U982" s="57"/>
      <c r="V982" s="57"/>
      <c r="W982" s="57"/>
      <c r="X982" s="57"/>
    </row>
    <row r="983" spans="21:24" ht="21.6" customHeight="1">
      <c r="U983" s="57"/>
      <c r="V983" s="57"/>
      <c r="W983" s="57"/>
      <c r="X983" s="57"/>
    </row>
    <row r="984" spans="21:24" ht="21.6" customHeight="1">
      <c r="U984" s="57"/>
      <c r="V984" s="57"/>
      <c r="W984" s="57"/>
      <c r="X984" s="57"/>
    </row>
    <row r="985" spans="21:24" ht="21.6" customHeight="1">
      <c r="U985" s="57"/>
      <c r="V985" s="57"/>
      <c r="W985" s="57"/>
      <c r="X985" s="57"/>
    </row>
    <row r="986" spans="21:24" ht="21.6" customHeight="1">
      <c r="U986" s="57"/>
      <c r="V986" s="57"/>
      <c r="W986" s="57"/>
      <c r="X986" s="57"/>
    </row>
    <row r="987" spans="21:24" ht="21.6" customHeight="1">
      <c r="U987" s="57"/>
      <c r="V987" s="57"/>
      <c r="W987" s="57"/>
      <c r="X987" s="57"/>
    </row>
    <row r="988" spans="21:24" ht="21.6" customHeight="1">
      <c r="U988" s="57"/>
      <c r="V988" s="57"/>
      <c r="W988" s="57"/>
      <c r="X988" s="57"/>
    </row>
    <row r="989" spans="21:24" ht="21.6" customHeight="1">
      <c r="U989" s="57"/>
      <c r="V989" s="57"/>
      <c r="W989" s="57"/>
      <c r="X989" s="57"/>
    </row>
  </sheetData>
  <mergeCells count="22">
    <mergeCell ref="G10:H10"/>
    <mergeCell ref="O7:P7"/>
    <mergeCell ref="U7:V7"/>
    <mergeCell ref="C8:D8"/>
    <mergeCell ref="G8:H8"/>
    <mergeCell ref="C9:D9"/>
    <mergeCell ref="B13:N13"/>
    <mergeCell ref="P13:Y13"/>
    <mergeCell ref="A1:Z1"/>
    <mergeCell ref="TR1:TX1"/>
    <mergeCell ref="C3:I3"/>
    <mergeCell ref="L3:R3"/>
    <mergeCell ref="T3:V3"/>
    <mergeCell ref="C5:D5"/>
    <mergeCell ref="G5:H5"/>
    <mergeCell ref="O5:P5"/>
    <mergeCell ref="U5:V5"/>
    <mergeCell ref="C6:D6"/>
    <mergeCell ref="G6:H6"/>
    <mergeCell ref="C7:D7"/>
    <mergeCell ref="G7:H7"/>
    <mergeCell ref="C10:D10"/>
  </mergeCells>
  <conditionalFormatting sqref="B4:C5 C6:C10 B7:B10">
    <cfRule type="expression" dxfId="19" priority="16">
      <formula>$B4="Resultado Líquido"</formula>
    </cfRule>
    <cfRule type="expression" dxfId="18" priority="17">
      <formula>OR($B4="Faturação",$B4="Despesas")</formula>
    </cfRule>
  </conditionalFormatting>
  <conditionalFormatting sqref="B11:C12">
    <cfRule type="expression" dxfId="17" priority="18">
      <formula>$B11="Resultado Líquido"</formula>
    </cfRule>
    <cfRule type="expression" dxfId="16" priority="19">
      <formula>OR($B11="Faturação",$B11="Despesas")</formula>
    </cfRule>
  </conditionalFormatting>
  <conditionalFormatting sqref="C23 E23:H23 J23:M23 B24:M24 B25:C27 E25:H27 J25:M29 B28:H29 B30:M30 B31:H31 J31:M31 B32:M32 B33:E33 G33:H33 J33:M33 B34:M34 B35:C35 E35:H36 J35:M36 B36 B37:M38 B39:H41 J39:M41 B42:M46 B47:H54 J47:M54 B55:M58 B59:H63 J59:M63 B64:M64 B65:H67 J65:M67 B68:M68 B69:H69 J69:M69 B70:M72 B73:H74 J73:M74 B75:M1048576">
    <cfRule type="expression" dxfId="15" priority="21">
      <formula>$B23="Total"</formula>
    </cfRule>
  </conditionalFormatting>
  <conditionalFormatting sqref="D17">
    <cfRule type="expression" dxfId="14" priority="11">
      <formula>$B17="Total"</formula>
    </cfRule>
  </conditionalFormatting>
  <conditionalFormatting sqref="D20">
    <cfRule type="expression" dxfId="13" priority="10">
      <formula>$B20="Total"</formula>
    </cfRule>
  </conditionalFormatting>
  <conditionalFormatting sqref="D22">
    <cfRule type="expression" dxfId="12" priority="7">
      <formula>$B22="Total"</formula>
    </cfRule>
  </conditionalFormatting>
  <conditionalFormatting sqref="D25">
    <cfRule type="expression" dxfId="11" priority="6">
      <formula>$B25="Total"</formula>
    </cfRule>
  </conditionalFormatting>
  <conditionalFormatting sqref="D35:D36">
    <cfRule type="expression" dxfId="10" priority="3">
      <formula>$B35="Total"</formula>
    </cfRule>
  </conditionalFormatting>
  <conditionalFormatting sqref="G5:G8">
    <cfRule type="expression" dxfId="9" priority="14">
      <formula>$B5="Resultado Líquido"</formula>
    </cfRule>
    <cfRule type="expression" dxfId="8" priority="15">
      <formula>OR($B5="Faturação",$B5="Despesas")</formula>
    </cfRule>
  </conditionalFormatting>
  <conditionalFormatting sqref="G10">
    <cfRule type="expression" dxfId="7" priority="12">
      <formula>$B10="Resultado Líquido"</formula>
    </cfRule>
    <cfRule type="expression" dxfId="6" priority="13">
      <formula>OR($B10="Faturação",$B10="Despesas")</formula>
    </cfRule>
  </conditionalFormatting>
  <conditionalFormatting sqref="I22">
    <cfRule type="expression" dxfId="5" priority="8">
      <formula>$B22="Total"</formula>
    </cfRule>
  </conditionalFormatting>
  <conditionalFormatting sqref="I33">
    <cfRule type="expression" dxfId="4" priority="5">
      <formula>$B33="Total"</formula>
    </cfRule>
  </conditionalFormatting>
  <conditionalFormatting sqref="I40">
    <cfRule type="expression" dxfId="3" priority="2">
      <formula>$B40="Total"</formula>
    </cfRule>
  </conditionalFormatting>
  <conditionalFormatting sqref="I51:I52">
    <cfRule type="expression" dxfId="2" priority="1">
      <formula>$B51="Total"</formula>
    </cfRule>
  </conditionalFormatting>
  <conditionalFormatting sqref="O23:O24">
    <cfRule type="expression" dxfId="1" priority="22">
      <formula>#REF!="Total"</formula>
    </cfRule>
  </conditionalFormatting>
  <conditionalFormatting sqref="P15:Y1048576">
    <cfRule type="expression" dxfId="0" priority="20">
      <formula>$P15="Total"</formula>
    </cfRule>
  </conditionalFormatting>
  <dataValidations count="9">
    <dataValidation type="list" allowBlank="1" showInputMessage="1" showErrorMessage="1" sqref="E16:E74" xr:uid="{0061765A-B8EC-42B4-9D76-83F612E6CCCB}">
      <formula1>"Produtos,Serviços"</formula1>
    </dataValidation>
    <dataValidation type="list" allowBlank="1" showErrorMessage="1" sqref="M16:M74" xr:uid="{A058AF2C-61C7-414C-B360-9A44CA1BA241}">
      <formula1>"Pago,Pendente,Vencido"</formula1>
    </dataValidation>
    <dataValidation type="list" allowBlank="1" showInputMessage="1" showErrorMessage="1" sqref="X16:X22" xr:uid="{AF563FF0-8704-47BA-B72C-9CED35B06EF1}">
      <formula1>"Pago,Pendente,Vencido"</formula1>
    </dataValidation>
    <dataValidation type="list" allowBlank="1" showInputMessage="1" showErrorMessage="1" sqref="T16:T22" xr:uid="{91F44DA6-0435-4E61-B1A7-E6D59CF6275A}">
      <formula1>Filtro_Desp</formula1>
    </dataValidation>
    <dataValidation type="whole" allowBlank="1" showInputMessage="1" showErrorMessage="1" sqref="R16:R22 D16:D74" xr:uid="{B3FF4BF3-08EE-490E-8B35-C65828BA36D5}">
      <formula1>0</formula1>
      <formula2>999999999</formula2>
    </dataValidation>
    <dataValidation type="date" allowBlank="1" showInputMessage="1" showErrorMessage="1" sqref="P16:P22 B16:B74" xr:uid="{9824EAD3-2EA0-4CE2-B0F6-560B8E980849}">
      <formula1>43831</formula1>
      <formula2>73050</formula2>
    </dataValidation>
    <dataValidation type="list" allowBlank="1" showErrorMessage="1" sqref="N16:N74" xr:uid="{69964076-AEB3-4114-824F-22BFB7869530}">
      <formula1>Filtro_Pag</formula1>
    </dataValidation>
    <dataValidation type="list" allowBlank="1" showInputMessage="1" showErrorMessage="1" sqref="Y16:Y22" xr:uid="{411BA7E8-5C90-464B-808D-F5C09B1D9F7F}">
      <formula1>Filtro_Pag</formula1>
    </dataValidation>
    <dataValidation type="list" allowBlank="1" showInputMessage="1" showErrorMessage="1" sqref="F16:F74" xr:uid="{FD84FDCA-B7DB-4054-A572-6E5F6E645832}">
      <formula1>INDIRECT($E16)</formula1>
    </dataValidation>
  </dataValidations>
  <pageMargins left="0.7" right="0.7" top="0.75" bottom="0.75" header="0" footer="0"/>
  <pageSetup paperSize="9" orientation="portrait" r:id="rId1"/>
  <drawing r:id="rId2"/>
  <tableParts count="2"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lha17">
    <tabColor theme="5"/>
  </sheetPr>
  <dimension ref="A1:O1001"/>
  <sheetViews>
    <sheetView showGridLines="0" zoomScale="110" zoomScaleNormal="110" workbookViewId="0">
      <selection activeCell="C16" sqref="C16"/>
    </sheetView>
  </sheetViews>
  <sheetFormatPr defaultColWidth="14.44140625" defaultRowHeight="15" customHeight="1"/>
  <cols>
    <col min="1" max="1" width="16" customWidth="1"/>
    <col min="2" max="2" width="14.44140625" customWidth="1"/>
    <col min="3" max="3" width="6.44140625" customWidth="1"/>
    <col min="4" max="4" width="21.44140625" style="70" customWidth="1"/>
    <col min="5" max="5" width="18.109375" style="70" customWidth="1"/>
    <col min="6" max="8" width="26.33203125" customWidth="1"/>
    <col min="9" max="9" width="33.88671875" customWidth="1"/>
    <col min="10" max="10" width="39" customWidth="1"/>
    <col min="11" max="12" width="8.6640625" customWidth="1"/>
    <col min="13" max="13" width="11.44140625" hidden="1" customWidth="1"/>
    <col min="14" max="14" width="10.33203125" hidden="1" customWidth="1"/>
    <col min="15" max="15" width="9.33203125" hidden="1" customWidth="1"/>
    <col min="16" max="23" width="8.6640625" customWidth="1"/>
  </cols>
  <sheetData>
    <row r="1" spans="1:15" ht="77.400000000000006" customHeight="1">
      <c r="A1" s="204"/>
      <c r="B1" s="204"/>
      <c r="C1" s="204"/>
      <c r="D1" s="250" t="s">
        <v>126</v>
      </c>
      <c r="E1" s="250"/>
      <c r="F1" s="250"/>
      <c r="G1" s="250"/>
      <c r="H1" s="250"/>
      <c r="I1" s="250"/>
      <c r="J1" s="250"/>
      <c r="K1" s="204"/>
    </row>
    <row r="2" spans="1:15" ht="14.25" customHeight="1">
      <c r="E2" s="71"/>
      <c r="F2" s="206"/>
      <c r="G2" s="206"/>
      <c r="H2" s="206"/>
    </row>
    <row r="3" spans="1:15" ht="44.1" customHeight="1">
      <c r="E3" s="71"/>
      <c r="F3" s="128" t="s">
        <v>72</v>
      </c>
      <c r="G3" s="129" t="s">
        <v>4</v>
      </c>
      <c r="H3" s="130" t="s">
        <v>127</v>
      </c>
      <c r="I3" s="131" t="s">
        <v>128</v>
      </c>
      <c r="J3" s="132" t="s">
        <v>129</v>
      </c>
    </row>
    <row r="4" spans="1:15" ht="26.1" customHeight="1">
      <c r="D4" s="243" t="s">
        <v>130</v>
      </c>
      <c r="E4" s="139" t="s">
        <v>131</v>
      </c>
      <c r="F4" s="140" cm="1">
        <f t="array" ref="F4">SUMPRODUCT((MONTH(Fat_Jan[Data])=1)*(Fat_Jan[Base]))</f>
        <v>1586.5</v>
      </c>
      <c r="G4" s="140" cm="1">
        <f t="array" ref="G4">SUMPRODUCT((MONTH(Desp_Jan[Data])=1)*(Desp_Jan[Base]))</f>
        <v>548.20000000000005</v>
      </c>
      <c r="H4" s="140">
        <f t="shared" ref="H4:H15" si="0">+F4-G4</f>
        <v>1038.3</v>
      </c>
      <c r="I4" s="141">
        <f>+H4</f>
        <v>1038.3</v>
      </c>
      <c r="J4" s="141" cm="1">
        <f t="array" ref="J4">SUMPRODUCT((MONTH(Fat_Jan[Data])=1)*(Fat_Jan[Retenção]))</f>
        <v>0</v>
      </c>
      <c r="M4" s="43">
        <f t="shared" ref="M4:M15" si="1">+H4</f>
        <v>1038.3</v>
      </c>
      <c r="N4" s="31">
        <f>IF(M4&gt;=0,M4,#N/A)</f>
        <v>1038.3</v>
      </c>
      <c r="O4" s="32" t="e">
        <f>IF(M4&lt;0,M4,#N/A)</f>
        <v>#N/A</v>
      </c>
    </row>
    <row r="5" spans="1:15" ht="26.1" customHeight="1">
      <c r="D5" s="244"/>
      <c r="E5" s="142" t="s">
        <v>132</v>
      </c>
      <c r="F5" s="143" cm="1">
        <f t="array" ref="F5">SUMPRODUCT((MONTH(Fat_Fev[Data])=2)*(Fat_Fev[Base]))</f>
        <v>1084</v>
      </c>
      <c r="G5" s="143" cm="1">
        <f t="array" ref="G5">SUMPRODUCT((MONTH(Desp_Fev[Data])=2)*(Desp_Fev[Base]))</f>
        <v>545.93999999999994</v>
      </c>
      <c r="H5" s="143">
        <f t="shared" si="0"/>
        <v>538.06000000000006</v>
      </c>
      <c r="I5" s="144">
        <f>+H5+I4</f>
        <v>1576.3600000000001</v>
      </c>
      <c r="J5" s="144" cm="1">
        <f t="array" ref="J5">SUMPRODUCT((MONTH(Fat_Fev[Data])=2)*(Fat_Fev[Retenção]))</f>
        <v>0</v>
      </c>
      <c r="M5" s="43">
        <f t="shared" si="1"/>
        <v>538.06000000000006</v>
      </c>
      <c r="N5" s="31">
        <f t="shared" ref="N5:N15" si="2">IF(M5&gt;=0,M5,#N/A)</f>
        <v>538.06000000000006</v>
      </c>
      <c r="O5" s="32" t="e">
        <f t="shared" ref="O5:O15" si="3">IF(M5&lt;0,M5,#N/A)</f>
        <v>#N/A</v>
      </c>
    </row>
    <row r="6" spans="1:15" ht="26.1" customHeight="1">
      <c r="D6" s="245"/>
      <c r="E6" s="145" t="s">
        <v>133</v>
      </c>
      <c r="F6" s="146" cm="1">
        <f t="array" ref="F6">SUMPRODUCT((MONTH(Fat_Mar[Data])=3)*(Fat_Mar[Base]))</f>
        <v>1360.5</v>
      </c>
      <c r="G6" s="146" cm="1">
        <f t="array" ref="G6">SUMPRODUCT((MONTH(Desp_Mar[Data])=3)*(Desp_Mar[Base]))</f>
        <v>579.33000000000004</v>
      </c>
      <c r="H6" s="146">
        <f t="shared" si="0"/>
        <v>781.17</v>
      </c>
      <c r="I6" s="147">
        <f t="shared" ref="I6:I15" si="4">+H6+I5</f>
        <v>2357.5300000000002</v>
      </c>
      <c r="J6" s="147" cm="1">
        <f t="array" ref="J6">SUMPRODUCT((MONTH(Fat_Mar[Data])=3)*(Fat_Mar[Retenção]))</f>
        <v>0</v>
      </c>
      <c r="M6" s="43">
        <f t="shared" si="1"/>
        <v>781.17</v>
      </c>
      <c r="N6" s="31">
        <f t="shared" si="2"/>
        <v>781.17</v>
      </c>
      <c r="O6" s="32" t="e">
        <f t="shared" si="3"/>
        <v>#N/A</v>
      </c>
    </row>
    <row r="7" spans="1:15" ht="26.1" customHeight="1">
      <c r="D7" s="246" t="s">
        <v>134</v>
      </c>
      <c r="E7" s="148" t="s">
        <v>135</v>
      </c>
      <c r="F7" s="149" cm="1">
        <f t="array" ref="F7">SUMPRODUCT((MONTH(Fat_Abr[Data])=4)*(Fat_Abr[Base]))</f>
        <v>2014</v>
      </c>
      <c r="G7" s="149" cm="1">
        <f t="array" ref="G7">SUMPRODUCT((MONTH(Desp_Abr[Data])=4)*(Desp_Abr[Base]))</f>
        <v>3637.3500000000004</v>
      </c>
      <c r="H7" s="149">
        <f t="shared" si="0"/>
        <v>-1623.3500000000004</v>
      </c>
      <c r="I7" s="150">
        <f t="shared" si="4"/>
        <v>734.17999999999984</v>
      </c>
      <c r="J7" s="150" cm="1">
        <f t="array" ref="J7">SUMPRODUCT((MONTH(Fat_Abr[Data])=4)*(Fat_Abr[Retenção]))</f>
        <v>0</v>
      </c>
      <c r="M7" s="43">
        <f t="shared" si="1"/>
        <v>-1623.3500000000004</v>
      </c>
      <c r="N7" s="31" t="e">
        <f t="shared" si="2"/>
        <v>#N/A</v>
      </c>
      <c r="O7" s="32">
        <f t="shared" si="3"/>
        <v>-1623.3500000000004</v>
      </c>
    </row>
    <row r="8" spans="1:15" ht="26.1" customHeight="1">
      <c r="D8" s="247"/>
      <c r="E8" s="151" t="s">
        <v>136</v>
      </c>
      <c r="F8" s="152" cm="1">
        <f t="array" ref="F8">SUMPRODUCT((MONTH(Fat_Mai[Data])=5)*(Fat_Mai[Base]))</f>
        <v>2913</v>
      </c>
      <c r="G8" s="152" cm="1">
        <f t="array" ref="G8">SUMPRODUCT((MONTH(Desp_Mai[Data])=5)*(Desp_Mai[Base]))</f>
        <v>1391.0239999999999</v>
      </c>
      <c r="H8" s="152">
        <f t="shared" si="0"/>
        <v>1521.9760000000001</v>
      </c>
      <c r="I8" s="153">
        <f t="shared" si="4"/>
        <v>2256.1559999999999</v>
      </c>
      <c r="J8" s="153" cm="1">
        <f t="array" ref="J8">SUMPRODUCT((MONTH(Fat_Mai[Data])=5)*(Fat_Mai[Retenção]))</f>
        <v>0</v>
      </c>
      <c r="M8" s="43">
        <f t="shared" si="1"/>
        <v>1521.9760000000001</v>
      </c>
      <c r="N8" s="31">
        <f t="shared" si="2"/>
        <v>1521.9760000000001</v>
      </c>
      <c r="O8" s="32" t="e">
        <f t="shared" si="3"/>
        <v>#N/A</v>
      </c>
    </row>
    <row r="9" spans="1:15" ht="26.1" customHeight="1">
      <c r="D9" s="248"/>
      <c r="E9" s="154" t="s">
        <v>137</v>
      </c>
      <c r="F9" s="155" cm="1">
        <f t="array" ref="F9">SUMPRODUCT((MONTH(Fat_Jun[Data])=6)*(Fat_Jun[Base]))</f>
        <v>2355</v>
      </c>
      <c r="G9" s="155" cm="1">
        <f t="array" ref="G9">SUMPRODUCT((MONTH(Desp_Jun[Data])=6)*(Desp_Jun[Base]))</f>
        <v>1983.3400000000001</v>
      </c>
      <c r="H9" s="155">
        <f t="shared" si="0"/>
        <v>371.65999999999985</v>
      </c>
      <c r="I9" s="156">
        <f t="shared" si="4"/>
        <v>2627.8159999999998</v>
      </c>
      <c r="J9" s="156" cm="1">
        <f t="array" ref="J9">SUMPRODUCT((MONTH(Fat_Jun[Data])=6)*(Fat_Jun[Retenção]))</f>
        <v>0</v>
      </c>
      <c r="M9" s="43">
        <f t="shared" si="1"/>
        <v>371.65999999999985</v>
      </c>
      <c r="N9" s="31">
        <f t="shared" si="2"/>
        <v>371.65999999999985</v>
      </c>
      <c r="O9" s="32" t="e">
        <f t="shared" si="3"/>
        <v>#N/A</v>
      </c>
    </row>
    <row r="10" spans="1:15" ht="26.1" customHeight="1">
      <c r="D10" s="243" t="s">
        <v>138</v>
      </c>
      <c r="E10" s="139" t="s">
        <v>139</v>
      </c>
      <c r="F10" s="140" cm="1">
        <f t="array" ref="F10">SUMPRODUCT((MONTH(Fat_Jul[Data])=7)*(Fat_Jul[Base]))</f>
        <v>6620</v>
      </c>
      <c r="G10" s="140" cm="1">
        <f t="array" ref="G10">SUMPRODUCT((MONTH(Desp_Jul[Data])=7)*(Desp_Jul[Base]))</f>
        <v>0</v>
      </c>
      <c r="H10" s="140">
        <f t="shared" si="0"/>
        <v>6620</v>
      </c>
      <c r="I10" s="141">
        <f t="shared" si="4"/>
        <v>9247.8159999999989</v>
      </c>
      <c r="J10" s="141" cm="1">
        <f t="array" ref="J10">SUMPRODUCT((MONTH(Fat_Jul[Data])=7)*(Fat_Jul[Retenção]))</f>
        <v>0</v>
      </c>
      <c r="M10" s="43">
        <f t="shared" si="1"/>
        <v>6620</v>
      </c>
      <c r="N10" s="31">
        <f t="shared" si="2"/>
        <v>6620</v>
      </c>
      <c r="O10" s="32" t="e">
        <f t="shared" si="3"/>
        <v>#N/A</v>
      </c>
    </row>
    <row r="11" spans="1:15" ht="26.1" customHeight="1">
      <c r="D11" s="244"/>
      <c r="E11" s="142" t="s">
        <v>140</v>
      </c>
      <c r="F11" s="143" cm="1">
        <f t="array" ref="F11">SUMPRODUCT((MONTH(Fat_Ago[Data])=8)*(Fat_Ago[Base]))</f>
        <v>2422.5</v>
      </c>
      <c r="G11" s="143" cm="1">
        <f t="array" ref="G11">SUMPRODUCT((MONTH(Desp_Ago[Data])=8)*(Desp_Ago[Base]))</f>
        <v>0</v>
      </c>
      <c r="H11" s="143">
        <f t="shared" si="0"/>
        <v>2422.5</v>
      </c>
      <c r="I11" s="144">
        <f t="shared" si="4"/>
        <v>11670.315999999999</v>
      </c>
      <c r="J11" s="144" cm="1">
        <f t="array" ref="J11">SUMPRODUCT((MONTH(Fat_Ago[Data])=8)*(Fat_Ago[Retenção]))</f>
        <v>0</v>
      </c>
      <c r="M11" s="43">
        <f t="shared" si="1"/>
        <v>2422.5</v>
      </c>
      <c r="N11" s="31">
        <f t="shared" si="2"/>
        <v>2422.5</v>
      </c>
      <c r="O11" s="32" t="e">
        <f t="shared" si="3"/>
        <v>#N/A</v>
      </c>
    </row>
    <row r="12" spans="1:15" ht="26.1" customHeight="1">
      <c r="D12" s="245"/>
      <c r="E12" s="145" t="s">
        <v>141</v>
      </c>
      <c r="F12" s="146" cm="1">
        <f t="array" ref="F12">SUMPRODUCT((MONTH(Fat_Set[Data])=9)*(Fat_Set[Base]))</f>
        <v>0</v>
      </c>
      <c r="G12" s="146" cm="1">
        <f t="array" ref="G12">SUMPRODUCT((MONTH(Desp_Set[Data])=9)*(Desp_Set[Base]))</f>
        <v>0</v>
      </c>
      <c r="H12" s="146">
        <f t="shared" si="0"/>
        <v>0</v>
      </c>
      <c r="I12" s="147">
        <f t="shared" si="4"/>
        <v>11670.315999999999</v>
      </c>
      <c r="J12" s="147" cm="1">
        <f t="array" ref="J12">SUMPRODUCT((MONTH(Fat_Set[Data])=9)*(Fat_Set[Retenção]))</f>
        <v>0</v>
      </c>
      <c r="M12" s="43">
        <f t="shared" si="1"/>
        <v>0</v>
      </c>
      <c r="N12" s="31">
        <f t="shared" si="2"/>
        <v>0</v>
      </c>
      <c r="O12" s="32" t="e">
        <f t="shared" si="3"/>
        <v>#N/A</v>
      </c>
    </row>
    <row r="13" spans="1:15" ht="26.1" customHeight="1">
      <c r="D13" s="249" t="s">
        <v>142</v>
      </c>
      <c r="E13" s="151" t="s">
        <v>143</v>
      </c>
      <c r="F13" s="152" cm="1">
        <f t="array" ref="F13">SUMPRODUCT((MONTH(Fat_Out[Data])=10)*(Fat_Out[Base]))</f>
        <v>0</v>
      </c>
      <c r="G13" s="152" cm="1">
        <f t="array" ref="G13">SUMPRODUCT((MONTH(Desp_Out[Data])=10)*(Desp_Out[Base]))</f>
        <v>0</v>
      </c>
      <c r="H13" s="152">
        <f t="shared" si="0"/>
        <v>0</v>
      </c>
      <c r="I13" s="153">
        <f t="shared" si="4"/>
        <v>11670.315999999999</v>
      </c>
      <c r="J13" s="153" cm="1">
        <f t="array" ref="J13">SUMPRODUCT((MONTH(Fat_Out[Data])=10)*(Fat_Out[Retenção]))</f>
        <v>0</v>
      </c>
      <c r="M13" s="43">
        <f t="shared" si="1"/>
        <v>0</v>
      </c>
      <c r="N13" s="31">
        <f t="shared" si="2"/>
        <v>0</v>
      </c>
      <c r="O13" s="32" t="e">
        <f t="shared" si="3"/>
        <v>#N/A</v>
      </c>
    </row>
    <row r="14" spans="1:15" ht="26.1" customHeight="1">
      <c r="D14" s="247"/>
      <c r="E14" s="151" t="s">
        <v>144</v>
      </c>
      <c r="F14" s="152" cm="1">
        <f t="array" ref="F14">SUMPRODUCT((MONTH(Fat_Nov[Data])=11)*(Fat_Nov[Base]))</f>
        <v>2248.6399999999994</v>
      </c>
      <c r="G14" s="152" cm="1">
        <f t="array" ref="G14">SUMPRODUCT((MONTH(Desp_Nov[Data])=11)*(Desp_Nov[Base]))</f>
        <v>412.6</v>
      </c>
      <c r="H14" s="152">
        <f t="shared" si="0"/>
        <v>1836.0399999999995</v>
      </c>
      <c r="I14" s="153">
        <f t="shared" si="4"/>
        <v>13506.355999999998</v>
      </c>
      <c r="J14" s="153" cm="1">
        <f t="array" ref="J14">SUMPRODUCT((MONTH(Fat_Nov[Data])=11)*(Fat_Nov[Retenção]))</f>
        <v>0</v>
      </c>
      <c r="M14" s="43">
        <f t="shared" si="1"/>
        <v>1836.0399999999995</v>
      </c>
      <c r="N14" s="31">
        <f t="shared" si="2"/>
        <v>1836.0399999999995</v>
      </c>
      <c r="O14" s="32" t="e">
        <f t="shared" si="3"/>
        <v>#N/A</v>
      </c>
    </row>
    <row r="15" spans="1:15" ht="26.1" customHeight="1">
      <c r="D15" s="248"/>
      <c r="E15" s="154" t="s">
        <v>145</v>
      </c>
      <c r="F15" s="155" cm="1">
        <f t="array" ref="F15">SUMPRODUCT((MONTH(Fat_Dez[Data])=12)*(Fat_Dez[Base]))</f>
        <v>4795.8599999999997</v>
      </c>
      <c r="G15" s="155" cm="1">
        <f t="array" ref="G15">SUMPRODUCT((MONTH(Desp_Dez[Data])=12)*(Desp_Dez[Base]))</f>
        <v>0</v>
      </c>
      <c r="H15" s="155">
        <f t="shared" si="0"/>
        <v>4795.8599999999997</v>
      </c>
      <c r="I15" s="156">
        <f t="shared" si="4"/>
        <v>18302.215999999997</v>
      </c>
      <c r="J15" s="156" cm="1">
        <f t="array" ref="J15">SUMPRODUCT((MONTH(Fat_Dez[Data])=12)*(Fat_Dez[Retenção]))</f>
        <v>74.796000000000006</v>
      </c>
      <c r="M15" s="43">
        <f t="shared" si="1"/>
        <v>4795.8599999999997</v>
      </c>
      <c r="N15" s="31">
        <f t="shared" si="2"/>
        <v>4795.8599999999997</v>
      </c>
      <c r="O15" s="32" t="e">
        <f t="shared" si="3"/>
        <v>#N/A</v>
      </c>
    </row>
    <row r="16" spans="1:15" ht="29.1" customHeight="1">
      <c r="E16" s="71"/>
      <c r="F16" s="72">
        <f t="shared" ref="F16:J16" si="5">SUM(F4:F15)</f>
        <v>27400</v>
      </c>
      <c r="G16" s="72">
        <f t="shared" si="5"/>
        <v>9097.7839999999997</v>
      </c>
      <c r="H16" s="72">
        <f t="shared" si="5"/>
        <v>18302.215999999997</v>
      </c>
      <c r="I16" s="72"/>
      <c r="J16" s="72">
        <f t="shared" si="5"/>
        <v>74.796000000000006</v>
      </c>
      <c r="K16" s="73"/>
    </row>
    <row r="17" spans="5:11" ht="14.25" customHeight="1">
      <c r="E17" s="71"/>
      <c r="F17" s="206"/>
      <c r="G17" s="206"/>
      <c r="H17" s="206"/>
    </row>
    <row r="18" spans="5:11" ht="14.25" customHeight="1">
      <c r="E18" s="71"/>
      <c r="F18" s="206"/>
      <c r="G18" s="206"/>
      <c r="H18" s="206"/>
    </row>
    <row r="19" spans="5:11" ht="14.25" customHeight="1">
      <c r="E19" s="71"/>
      <c r="F19" s="206"/>
      <c r="G19" s="206"/>
      <c r="H19" s="206"/>
    </row>
    <row r="20" spans="5:11" ht="14.25" customHeight="1">
      <c r="E20" s="71"/>
      <c r="F20" s="206"/>
      <c r="G20" s="206"/>
      <c r="H20" s="206"/>
    </row>
    <row r="21" spans="5:11" ht="14.25" customHeight="1">
      <c r="E21" s="71"/>
      <c r="F21" s="206"/>
      <c r="G21" s="206"/>
      <c r="H21" s="206"/>
    </row>
    <row r="22" spans="5:11" ht="14.25" customHeight="1">
      <c r="E22" s="71"/>
      <c r="F22" s="206"/>
      <c r="G22" s="206"/>
      <c r="H22" s="206"/>
    </row>
    <row r="23" spans="5:11" ht="14.25" customHeight="1">
      <c r="E23" s="71"/>
      <c r="F23" s="206"/>
      <c r="G23" s="206"/>
      <c r="H23" s="206"/>
    </row>
    <row r="24" spans="5:11" ht="14.25" customHeight="1">
      <c r="E24" s="71"/>
      <c r="F24" s="206"/>
      <c r="G24" s="206"/>
      <c r="H24" s="206"/>
    </row>
    <row r="25" spans="5:11" ht="14.25" customHeight="1">
      <c r="E25" s="71"/>
      <c r="F25" s="206"/>
      <c r="G25" s="206"/>
      <c r="H25" s="206"/>
    </row>
    <row r="26" spans="5:11" ht="14.25" customHeight="1">
      <c r="E26" s="71"/>
      <c r="F26" s="206"/>
      <c r="G26" s="206"/>
      <c r="H26" s="206"/>
    </row>
    <row r="27" spans="5:11" ht="14.25" customHeight="1">
      <c r="E27" s="71"/>
      <c r="F27" s="206"/>
      <c r="G27" s="206"/>
      <c r="H27" s="206"/>
    </row>
    <row r="28" spans="5:11" ht="14.25" customHeight="1">
      <c r="E28" s="71"/>
      <c r="F28" s="206"/>
      <c r="G28" s="206"/>
      <c r="H28" s="206"/>
      <c r="K28" s="3" t="s">
        <v>146</v>
      </c>
    </row>
    <row r="29" spans="5:11" ht="14.25" customHeight="1">
      <c r="E29" s="71"/>
      <c r="F29" s="206"/>
      <c r="G29" s="206"/>
      <c r="H29" s="206"/>
    </row>
    <row r="30" spans="5:11" ht="14.25" customHeight="1">
      <c r="E30" s="71"/>
      <c r="F30" s="206"/>
      <c r="G30" s="206"/>
      <c r="H30" s="206"/>
    </row>
    <row r="31" spans="5:11" ht="14.25" customHeight="1">
      <c r="E31" s="71"/>
      <c r="F31" s="206"/>
      <c r="G31" s="206"/>
      <c r="H31" s="206"/>
    </row>
    <row r="32" spans="5:11" ht="14.25" customHeight="1">
      <c r="E32" s="71"/>
      <c r="F32" s="206"/>
      <c r="G32" s="206"/>
      <c r="H32" s="206"/>
    </row>
    <row r="33" spans="5:8" ht="14.25" customHeight="1">
      <c r="E33" s="71"/>
      <c r="F33" s="206"/>
      <c r="G33" s="206"/>
      <c r="H33" s="206"/>
    </row>
    <row r="34" spans="5:8" ht="159.9" customHeight="1">
      <c r="E34" s="71"/>
      <c r="F34" s="206"/>
      <c r="G34" s="206"/>
      <c r="H34" s="206"/>
    </row>
    <row r="35" spans="5:8" ht="159.9" customHeight="1">
      <c r="E35" s="71"/>
      <c r="F35" s="206"/>
      <c r="G35" s="206"/>
      <c r="H35" s="206"/>
    </row>
    <row r="36" spans="5:8" ht="159.9" customHeight="1">
      <c r="E36" s="71"/>
      <c r="F36" s="206"/>
      <c r="G36" s="206"/>
      <c r="H36" s="206"/>
    </row>
    <row r="37" spans="5:8" ht="14.25" customHeight="1">
      <c r="E37" s="71"/>
      <c r="F37" s="206"/>
      <c r="G37" s="206"/>
      <c r="H37" s="206"/>
    </row>
    <row r="38" spans="5:8" ht="14.25" customHeight="1">
      <c r="E38" s="71"/>
      <c r="F38" s="206"/>
      <c r="G38" s="206"/>
      <c r="H38" s="206"/>
    </row>
    <row r="39" spans="5:8" ht="14.25" customHeight="1">
      <c r="E39" s="71"/>
      <c r="F39" s="206"/>
      <c r="G39" s="206"/>
      <c r="H39" s="206"/>
    </row>
    <row r="40" spans="5:8" ht="14.25" customHeight="1">
      <c r="E40" s="71"/>
      <c r="F40" s="206"/>
      <c r="G40" s="206"/>
      <c r="H40" s="206"/>
    </row>
    <row r="41" spans="5:8" ht="14.25" customHeight="1">
      <c r="E41" s="71"/>
      <c r="F41" s="206"/>
      <c r="G41" s="206"/>
      <c r="H41" s="206"/>
    </row>
    <row r="42" spans="5:8" ht="14.25" customHeight="1">
      <c r="E42" s="71"/>
      <c r="F42" s="206"/>
      <c r="G42" s="206"/>
      <c r="H42" s="206"/>
    </row>
    <row r="43" spans="5:8" ht="14.25" customHeight="1">
      <c r="E43" s="71"/>
      <c r="F43" s="206"/>
      <c r="G43" s="206"/>
      <c r="H43" s="206"/>
    </row>
    <row r="44" spans="5:8" ht="14.25" customHeight="1">
      <c r="E44" s="71"/>
      <c r="F44" s="206"/>
      <c r="G44" s="206"/>
      <c r="H44" s="206"/>
    </row>
    <row r="45" spans="5:8" ht="14.25" customHeight="1">
      <c r="E45" s="71"/>
      <c r="F45" s="206"/>
      <c r="G45" s="206"/>
      <c r="H45" s="206"/>
    </row>
    <row r="46" spans="5:8" ht="14.25" customHeight="1">
      <c r="E46" s="71"/>
      <c r="F46" s="206"/>
      <c r="G46" s="206"/>
      <c r="H46" s="206"/>
    </row>
    <row r="47" spans="5:8" ht="14.25" customHeight="1">
      <c r="E47" s="71"/>
      <c r="F47" s="206"/>
      <c r="G47" s="206"/>
      <c r="H47" s="206"/>
    </row>
    <row r="48" spans="5:8" ht="14.25" customHeight="1">
      <c r="E48" s="71"/>
      <c r="F48" s="206"/>
      <c r="G48" s="206"/>
      <c r="H48" s="206"/>
    </row>
    <row r="49" spans="5:8" ht="14.25" customHeight="1">
      <c r="E49" s="71"/>
      <c r="F49" s="206"/>
      <c r="G49" s="206"/>
      <c r="H49" s="206"/>
    </row>
    <row r="50" spans="5:8" ht="14.25" customHeight="1">
      <c r="E50" s="71"/>
      <c r="F50" s="206"/>
      <c r="G50" s="206"/>
      <c r="H50" s="206"/>
    </row>
    <row r="51" spans="5:8" ht="14.25" customHeight="1">
      <c r="E51" s="71"/>
      <c r="F51" s="206"/>
      <c r="G51" s="206"/>
      <c r="H51" s="206"/>
    </row>
    <row r="52" spans="5:8" ht="14.25" customHeight="1">
      <c r="E52" s="71"/>
      <c r="F52" s="206"/>
      <c r="G52" s="206"/>
      <c r="H52" s="206"/>
    </row>
    <row r="53" spans="5:8" ht="14.25" customHeight="1">
      <c r="E53" s="71"/>
      <c r="F53" s="206"/>
      <c r="G53" s="206"/>
      <c r="H53" s="206"/>
    </row>
    <row r="54" spans="5:8" ht="14.25" customHeight="1">
      <c r="E54" s="71"/>
      <c r="F54" s="206"/>
      <c r="G54" s="206"/>
      <c r="H54" s="206"/>
    </row>
    <row r="55" spans="5:8" ht="14.25" customHeight="1">
      <c r="E55" s="71"/>
      <c r="F55" s="206"/>
      <c r="G55" s="206"/>
      <c r="H55" s="206"/>
    </row>
    <row r="56" spans="5:8" ht="14.25" customHeight="1">
      <c r="E56" s="71"/>
      <c r="F56" s="206"/>
      <c r="G56" s="206"/>
      <c r="H56" s="206"/>
    </row>
    <row r="57" spans="5:8" ht="14.25" customHeight="1">
      <c r="E57" s="71"/>
      <c r="F57" s="206"/>
      <c r="G57" s="206"/>
      <c r="H57" s="206"/>
    </row>
    <row r="58" spans="5:8" ht="14.25" customHeight="1">
      <c r="E58" s="71"/>
      <c r="F58" s="206"/>
      <c r="G58" s="206"/>
      <c r="H58" s="206"/>
    </row>
    <row r="59" spans="5:8" ht="14.25" customHeight="1">
      <c r="E59" s="71"/>
      <c r="F59" s="206"/>
      <c r="G59" s="206"/>
      <c r="H59" s="206"/>
    </row>
    <row r="60" spans="5:8" ht="14.25" customHeight="1">
      <c r="E60" s="71"/>
      <c r="F60" s="206"/>
      <c r="G60" s="206"/>
      <c r="H60" s="206"/>
    </row>
    <row r="61" spans="5:8" ht="14.25" customHeight="1">
      <c r="E61" s="71"/>
      <c r="F61" s="206"/>
      <c r="G61" s="206"/>
      <c r="H61" s="206"/>
    </row>
    <row r="62" spans="5:8" ht="14.25" customHeight="1">
      <c r="E62" s="71"/>
      <c r="F62" s="206"/>
      <c r="G62" s="206"/>
      <c r="H62" s="206"/>
    </row>
    <row r="63" spans="5:8" ht="14.25" customHeight="1">
      <c r="E63" s="71"/>
      <c r="F63" s="206"/>
      <c r="G63" s="206"/>
      <c r="H63" s="206"/>
    </row>
    <row r="64" spans="5:8" ht="14.25" customHeight="1">
      <c r="E64" s="71"/>
      <c r="F64" s="206"/>
      <c r="G64" s="206"/>
      <c r="H64" s="206"/>
    </row>
    <row r="65" spans="5:8" ht="14.25" customHeight="1">
      <c r="E65" s="71"/>
      <c r="F65" s="206"/>
      <c r="G65" s="206"/>
      <c r="H65" s="206"/>
    </row>
    <row r="66" spans="5:8" ht="14.25" customHeight="1">
      <c r="E66" s="71"/>
      <c r="F66" s="206"/>
      <c r="G66" s="206"/>
      <c r="H66" s="206"/>
    </row>
    <row r="67" spans="5:8" ht="14.25" customHeight="1">
      <c r="E67" s="71"/>
      <c r="F67" s="206"/>
      <c r="G67" s="206"/>
      <c r="H67" s="206"/>
    </row>
    <row r="68" spans="5:8" ht="14.25" customHeight="1">
      <c r="E68" s="71"/>
      <c r="F68" s="206"/>
      <c r="G68" s="206"/>
      <c r="H68" s="206"/>
    </row>
    <row r="69" spans="5:8" ht="14.25" customHeight="1">
      <c r="E69" s="71"/>
      <c r="F69" s="206"/>
      <c r="G69" s="206"/>
      <c r="H69" s="206"/>
    </row>
    <row r="70" spans="5:8" ht="14.25" customHeight="1">
      <c r="E70" s="71"/>
      <c r="F70" s="206"/>
      <c r="G70" s="206"/>
      <c r="H70" s="206"/>
    </row>
    <row r="71" spans="5:8" ht="14.25" customHeight="1">
      <c r="E71" s="71"/>
      <c r="F71" s="206"/>
      <c r="G71" s="206"/>
      <c r="H71" s="206"/>
    </row>
    <row r="72" spans="5:8" ht="14.25" customHeight="1">
      <c r="E72" s="71"/>
      <c r="F72" s="206"/>
      <c r="G72" s="206"/>
      <c r="H72" s="206"/>
    </row>
    <row r="73" spans="5:8" ht="14.25" customHeight="1">
      <c r="E73" s="71"/>
      <c r="F73" s="206"/>
      <c r="G73" s="206"/>
      <c r="H73" s="206"/>
    </row>
    <row r="74" spans="5:8" ht="14.25" customHeight="1">
      <c r="E74" s="71"/>
      <c r="F74" s="206"/>
      <c r="G74" s="206"/>
      <c r="H74" s="206"/>
    </row>
    <row r="75" spans="5:8" ht="14.25" customHeight="1">
      <c r="E75" s="71"/>
      <c r="F75" s="206"/>
      <c r="G75" s="206"/>
      <c r="H75" s="206"/>
    </row>
    <row r="76" spans="5:8" ht="14.25" customHeight="1">
      <c r="E76" s="71"/>
      <c r="F76" s="206"/>
      <c r="G76" s="206"/>
      <c r="H76" s="206"/>
    </row>
    <row r="77" spans="5:8" ht="14.25" customHeight="1">
      <c r="E77" s="71"/>
      <c r="F77" s="206"/>
      <c r="G77" s="206"/>
      <c r="H77" s="206"/>
    </row>
    <row r="78" spans="5:8" ht="14.25" customHeight="1">
      <c r="E78" s="71"/>
      <c r="F78" s="206"/>
      <c r="G78" s="206"/>
      <c r="H78" s="206"/>
    </row>
    <row r="79" spans="5:8" ht="14.25" customHeight="1">
      <c r="E79" s="71"/>
      <c r="F79" s="206"/>
      <c r="G79" s="206"/>
      <c r="H79" s="206"/>
    </row>
    <row r="80" spans="5:8" ht="14.25" customHeight="1">
      <c r="E80" s="71"/>
      <c r="F80" s="206"/>
      <c r="G80" s="206"/>
      <c r="H80" s="206"/>
    </row>
    <row r="81" spans="5:8" ht="14.25" customHeight="1">
      <c r="E81" s="71"/>
      <c r="F81" s="206"/>
      <c r="G81" s="206"/>
      <c r="H81" s="206"/>
    </row>
    <row r="82" spans="5:8" ht="14.25" customHeight="1">
      <c r="E82" s="71"/>
      <c r="F82" s="206"/>
      <c r="G82" s="206"/>
      <c r="H82" s="206"/>
    </row>
    <row r="83" spans="5:8" ht="14.25" customHeight="1">
      <c r="E83" s="71"/>
      <c r="F83" s="206"/>
      <c r="G83" s="206"/>
      <c r="H83" s="206"/>
    </row>
    <row r="84" spans="5:8" ht="14.25" customHeight="1">
      <c r="E84" s="71"/>
      <c r="F84" s="206"/>
      <c r="G84" s="206"/>
      <c r="H84" s="206"/>
    </row>
    <row r="85" spans="5:8" ht="14.25" customHeight="1">
      <c r="E85" s="71"/>
      <c r="F85" s="206"/>
      <c r="G85" s="206"/>
      <c r="H85" s="206"/>
    </row>
    <row r="86" spans="5:8" ht="14.25" customHeight="1">
      <c r="E86" s="71"/>
      <c r="F86" s="206"/>
      <c r="G86" s="206"/>
      <c r="H86" s="206"/>
    </row>
    <row r="87" spans="5:8" ht="14.25" customHeight="1">
      <c r="E87" s="71"/>
      <c r="F87" s="206"/>
      <c r="G87" s="206"/>
      <c r="H87" s="206"/>
    </row>
    <row r="88" spans="5:8" ht="14.25" customHeight="1">
      <c r="E88" s="71"/>
      <c r="F88" s="206"/>
      <c r="G88" s="206"/>
      <c r="H88" s="206"/>
    </row>
    <row r="89" spans="5:8" ht="14.25" customHeight="1">
      <c r="E89" s="71"/>
      <c r="F89" s="206"/>
      <c r="G89" s="206"/>
      <c r="H89" s="206"/>
    </row>
    <row r="90" spans="5:8" ht="14.25" customHeight="1">
      <c r="E90" s="71"/>
      <c r="F90" s="206"/>
      <c r="G90" s="206"/>
      <c r="H90" s="206"/>
    </row>
    <row r="91" spans="5:8" ht="14.25" customHeight="1">
      <c r="E91" s="71"/>
      <c r="F91" s="206"/>
      <c r="G91" s="206"/>
      <c r="H91" s="206"/>
    </row>
    <row r="92" spans="5:8" ht="14.25" customHeight="1">
      <c r="E92" s="71"/>
      <c r="F92" s="206"/>
      <c r="G92" s="206"/>
      <c r="H92" s="206"/>
    </row>
    <row r="93" spans="5:8" ht="14.25" customHeight="1">
      <c r="E93" s="71"/>
      <c r="F93" s="206"/>
      <c r="G93" s="206"/>
      <c r="H93" s="206"/>
    </row>
    <row r="94" spans="5:8" ht="14.25" customHeight="1">
      <c r="E94" s="71"/>
      <c r="F94" s="206"/>
      <c r="G94" s="206"/>
      <c r="H94" s="206"/>
    </row>
    <row r="95" spans="5:8" ht="14.25" customHeight="1">
      <c r="E95" s="71"/>
      <c r="F95" s="206"/>
      <c r="G95" s="206"/>
      <c r="H95" s="206"/>
    </row>
    <row r="96" spans="5:8" ht="14.25" customHeight="1">
      <c r="E96" s="71"/>
      <c r="F96" s="206"/>
      <c r="G96" s="206"/>
      <c r="H96" s="206"/>
    </row>
    <row r="97" spans="5:8" ht="14.25" customHeight="1">
      <c r="E97" s="71"/>
      <c r="F97" s="206"/>
      <c r="G97" s="206"/>
      <c r="H97" s="206"/>
    </row>
    <row r="98" spans="5:8" ht="14.25" customHeight="1">
      <c r="E98" s="71"/>
      <c r="F98" s="206"/>
      <c r="G98" s="206"/>
      <c r="H98" s="206"/>
    </row>
    <row r="99" spans="5:8" ht="14.25" customHeight="1">
      <c r="E99" s="71"/>
      <c r="F99" s="206"/>
      <c r="G99" s="206"/>
      <c r="H99" s="206"/>
    </row>
    <row r="100" spans="5:8" ht="14.25" customHeight="1">
      <c r="E100" s="71"/>
      <c r="F100" s="206"/>
      <c r="G100" s="206"/>
      <c r="H100" s="206"/>
    </row>
    <row r="101" spans="5:8" ht="14.25" customHeight="1">
      <c r="E101" s="71"/>
      <c r="F101" s="206"/>
      <c r="G101" s="206"/>
      <c r="H101" s="206"/>
    </row>
    <row r="102" spans="5:8" ht="14.25" customHeight="1">
      <c r="E102" s="71"/>
      <c r="F102" s="206"/>
      <c r="G102" s="206"/>
      <c r="H102" s="206"/>
    </row>
    <row r="103" spans="5:8" ht="14.25" customHeight="1">
      <c r="E103" s="71"/>
      <c r="F103" s="206"/>
      <c r="G103" s="206"/>
      <c r="H103" s="206"/>
    </row>
    <row r="104" spans="5:8" ht="14.25" customHeight="1">
      <c r="E104" s="71"/>
      <c r="F104" s="206"/>
      <c r="G104" s="206"/>
      <c r="H104" s="206"/>
    </row>
    <row r="105" spans="5:8" ht="14.25" customHeight="1">
      <c r="E105" s="71"/>
      <c r="F105" s="206"/>
      <c r="G105" s="206"/>
      <c r="H105" s="206"/>
    </row>
    <row r="106" spans="5:8" ht="14.25" customHeight="1">
      <c r="E106" s="71"/>
      <c r="F106" s="206"/>
      <c r="G106" s="206"/>
      <c r="H106" s="206"/>
    </row>
    <row r="107" spans="5:8" ht="14.25" customHeight="1">
      <c r="E107" s="71"/>
      <c r="F107" s="206"/>
      <c r="G107" s="206"/>
      <c r="H107" s="206"/>
    </row>
    <row r="108" spans="5:8" ht="14.25" customHeight="1">
      <c r="E108" s="71"/>
      <c r="F108" s="206"/>
      <c r="G108" s="206"/>
      <c r="H108" s="206"/>
    </row>
    <row r="109" spans="5:8" ht="14.25" customHeight="1">
      <c r="E109" s="71"/>
      <c r="F109" s="206"/>
      <c r="G109" s="206"/>
      <c r="H109" s="206"/>
    </row>
    <row r="110" spans="5:8" ht="14.25" customHeight="1">
      <c r="E110" s="71"/>
      <c r="F110" s="206"/>
      <c r="G110" s="206"/>
      <c r="H110" s="206"/>
    </row>
    <row r="111" spans="5:8" ht="14.25" customHeight="1">
      <c r="E111" s="71"/>
      <c r="F111" s="206"/>
      <c r="G111" s="206"/>
      <c r="H111" s="206"/>
    </row>
    <row r="112" spans="5:8" ht="14.25" customHeight="1">
      <c r="E112" s="71"/>
      <c r="F112" s="206"/>
      <c r="G112" s="206"/>
      <c r="H112" s="206"/>
    </row>
    <row r="113" spans="5:8" ht="14.25" customHeight="1">
      <c r="E113" s="71"/>
      <c r="F113" s="206"/>
      <c r="G113" s="206"/>
      <c r="H113" s="206"/>
    </row>
    <row r="114" spans="5:8" ht="14.25" customHeight="1">
      <c r="E114" s="71"/>
      <c r="F114" s="206"/>
      <c r="G114" s="206"/>
      <c r="H114" s="206"/>
    </row>
    <row r="115" spans="5:8" ht="14.25" customHeight="1">
      <c r="E115" s="71"/>
      <c r="F115" s="206"/>
      <c r="G115" s="206"/>
      <c r="H115" s="206"/>
    </row>
    <row r="116" spans="5:8" ht="14.25" customHeight="1">
      <c r="E116" s="71"/>
      <c r="F116" s="206"/>
      <c r="G116" s="206"/>
      <c r="H116" s="206"/>
    </row>
    <row r="117" spans="5:8" ht="14.25" customHeight="1">
      <c r="E117" s="71"/>
      <c r="F117" s="206"/>
      <c r="G117" s="206"/>
      <c r="H117" s="206"/>
    </row>
    <row r="118" spans="5:8" ht="14.25" customHeight="1">
      <c r="E118" s="71"/>
      <c r="F118" s="206"/>
      <c r="G118" s="206"/>
      <c r="H118" s="206"/>
    </row>
    <row r="119" spans="5:8" ht="14.25" customHeight="1">
      <c r="E119" s="71"/>
      <c r="F119" s="206"/>
      <c r="G119" s="206"/>
      <c r="H119" s="206"/>
    </row>
    <row r="120" spans="5:8" ht="14.25" customHeight="1">
      <c r="E120" s="71"/>
      <c r="F120" s="206"/>
      <c r="G120" s="206"/>
      <c r="H120" s="206"/>
    </row>
    <row r="121" spans="5:8" ht="14.25" customHeight="1">
      <c r="E121" s="71"/>
      <c r="F121" s="206"/>
      <c r="G121" s="206"/>
      <c r="H121" s="206"/>
    </row>
    <row r="122" spans="5:8" ht="14.25" customHeight="1">
      <c r="E122" s="71"/>
      <c r="F122" s="206"/>
      <c r="G122" s="206"/>
      <c r="H122" s="206"/>
    </row>
    <row r="123" spans="5:8" ht="14.25" customHeight="1">
      <c r="E123" s="71"/>
      <c r="F123" s="206"/>
      <c r="G123" s="206"/>
      <c r="H123" s="206"/>
    </row>
    <row r="124" spans="5:8" ht="14.25" customHeight="1">
      <c r="E124" s="71"/>
      <c r="F124" s="206"/>
      <c r="G124" s="206"/>
      <c r="H124" s="206"/>
    </row>
    <row r="125" spans="5:8" ht="14.25" customHeight="1">
      <c r="E125" s="71"/>
      <c r="F125" s="206"/>
      <c r="G125" s="206"/>
      <c r="H125" s="206"/>
    </row>
    <row r="126" spans="5:8" ht="14.25" customHeight="1">
      <c r="E126" s="71"/>
      <c r="F126" s="206"/>
      <c r="G126" s="206"/>
      <c r="H126" s="206"/>
    </row>
    <row r="127" spans="5:8" ht="14.25" customHeight="1">
      <c r="E127" s="71"/>
      <c r="F127" s="206"/>
      <c r="G127" s="206"/>
      <c r="H127" s="206"/>
    </row>
    <row r="128" spans="5:8" ht="14.25" customHeight="1">
      <c r="E128" s="71"/>
      <c r="F128" s="206"/>
      <c r="G128" s="206"/>
      <c r="H128" s="206"/>
    </row>
    <row r="129" spans="5:8" ht="14.25" customHeight="1">
      <c r="E129" s="71"/>
      <c r="F129" s="206"/>
      <c r="G129" s="206"/>
      <c r="H129" s="206"/>
    </row>
    <row r="130" spans="5:8" ht="14.25" customHeight="1">
      <c r="E130" s="71"/>
      <c r="F130" s="206"/>
      <c r="G130" s="206"/>
      <c r="H130" s="206"/>
    </row>
    <row r="131" spans="5:8" ht="14.25" customHeight="1">
      <c r="E131" s="71"/>
      <c r="F131" s="206"/>
      <c r="G131" s="206"/>
      <c r="H131" s="206"/>
    </row>
    <row r="132" spans="5:8" ht="14.25" customHeight="1">
      <c r="E132" s="71"/>
      <c r="F132" s="206"/>
      <c r="G132" s="206"/>
      <c r="H132" s="206"/>
    </row>
    <row r="133" spans="5:8" ht="14.25" customHeight="1">
      <c r="E133" s="71"/>
      <c r="F133" s="206"/>
      <c r="G133" s="206"/>
      <c r="H133" s="206"/>
    </row>
    <row r="134" spans="5:8" ht="14.25" customHeight="1">
      <c r="E134" s="71"/>
      <c r="F134" s="206"/>
      <c r="G134" s="206"/>
      <c r="H134" s="206"/>
    </row>
    <row r="135" spans="5:8" ht="14.25" customHeight="1">
      <c r="E135" s="71"/>
      <c r="F135" s="206"/>
      <c r="G135" s="206"/>
      <c r="H135" s="206"/>
    </row>
    <row r="136" spans="5:8" ht="14.25" customHeight="1">
      <c r="E136" s="71"/>
      <c r="F136" s="206"/>
      <c r="G136" s="206"/>
      <c r="H136" s="206"/>
    </row>
    <row r="137" spans="5:8" ht="14.25" customHeight="1">
      <c r="E137" s="71"/>
      <c r="F137" s="206"/>
      <c r="G137" s="206"/>
      <c r="H137" s="206"/>
    </row>
    <row r="138" spans="5:8" ht="14.25" customHeight="1">
      <c r="E138" s="71"/>
      <c r="F138" s="206"/>
      <c r="G138" s="206"/>
      <c r="H138" s="206"/>
    </row>
    <row r="139" spans="5:8" ht="14.25" customHeight="1">
      <c r="E139" s="71"/>
      <c r="F139" s="206"/>
      <c r="G139" s="206"/>
      <c r="H139" s="206"/>
    </row>
    <row r="140" spans="5:8" ht="14.25" customHeight="1">
      <c r="E140" s="71"/>
      <c r="F140" s="206"/>
      <c r="G140" s="206"/>
      <c r="H140" s="206"/>
    </row>
    <row r="141" spans="5:8" ht="14.25" customHeight="1">
      <c r="E141" s="71"/>
      <c r="F141" s="206"/>
      <c r="G141" s="206"/>
      <c r="H141" s="206"/>
    </row>
    <row r="142" spans="5:8" ht="14.25" customHeight="1">
      <c r="E142" s="71"/>
      <c r="F142" s="206"/>
      <c r="G142" s="206"/>
      <c r="H142" s="206"/>
    </row>
    <row r="143" spans="5:8" ht="14.25" customHeight="1">
      <c r="E143" s="71"/>
      <c r="F143" s="206"/>
      <c r="G143" s="206"/>
      <c r="H143" s="206"/>
    </row>
    <row r="144" spans="5:8" ht="14.25" customHeight="1">
      <c r="E144" s="71"/>
      <c r="F144" s="206"/>
      <c r="G144" s="206"/>
      <c r="H144" s="206"/>
    </row>
    <row r="145" spans="5:8" ht="14.25" customHeight="1">
      <c r="E145" s="71"/>
      <c r="F145" s="206"/>
      <c r="G145" s="206"/>
      <c r="H145" s="206"/>
    </row>
    <row r="146" spans="5:8" ht="14.25" customHeight="1">
      <c r="E146" s="71"/>
      <c r="F146" s="206"/>
      <c r="G146" s="206"/>
      <c r="H146" s="206"/>
    </row>
    <row r="147" spans="5:8" ht="14.25" customHeight="1">
      <c r="E147" s="71"/>
      <c r="F147" s="206"/>
      <c r="G147" s="206"/>
      <c r="H147" s="206"/>
    </row>
    <row r="148" spans="5:8" ht="14.25" customHeight="1">
      <c r="E148" s="71"/>
      <c r="F148" s="206"/>
      <c r="G148" s="206"/>
      <c r="H148" s="206"/>
    </row>
    <row r="149" spans="5:8" ht="14.25" customHeight="1">
      <c r="E149" s="71"/>
      <c r="F149" s="206"/>
      <c r="G149" s="206"/>
      <c r="H149" s="206"/>
    </row>
    <row r="150" spans="5:8" ht="14.25" customHeight="1">
      <c r="E150" s="71"/>
      <c r="F150" s="206"/>
      <c r="G150" s="206"/>
      <c r="H150" s="206"/>
    </row>
    <row r="151" spans="5:8" ht="14.25" customHeight="1">
      <c r="E151" s="71"/>
      <c r="F151" s="206"/>
      <c r="G151" s="206"/>
      <c r="H151" s="206"/>
    </row>
    <row r="152" spans="5:8" ht="14.25" customHeight="1">
      <c r="E152" s="71"/>
      <c r="F152" s="206"/>
      <c r="G152" s="206"/>
      <c r="H152" s="206"/>
    </row>
    <row r="153" spans="5:8" ht="14.25" customHeight="1">
      <c r="E153" s="71"/>
      <c r="F153" s="206"/>
      <c r="G153" s="206"/>
      <c r="H153" s="206"/>
    </row>
    <row r="154" spans="5:8" ht="14.25" customHeight="1">
      <c r="E154" s="71"/>
      <c r="F154" s="206"/>
      <c r="G154" s="206"/>
      <c r="H154" s="206"/>
    </row>
    <row r="155" spans="5:8" ht="14.25" customHeight="1">
      <c r="E155" s="71"/>
      <c r="F155" s="206"/>
      <c r="G155" s="206"/>
      <c r="H155" s="206"/>
    </row>
    <row r="156" spans="5:8" ht="14.25" customHeight="1">
      <c r="E156" s="71"/>
      <c r="F156" s="206"/>
      <c r="G156" s="206"/>
      <c r="H156" s="206"/>
    </row>
    <row r="157" spans="5:8" ht="14.25" customHeight="1">
      <c r="E157" s="71"/>
      <c r="F157" s="206"/>
      <c r="G157" s="206"/>
      <c r="H157" s="206"/>
    </row>
    <row r="158" spans="5:8" ht="14.25" customHeight="1">
      <c r="E158" s="71"/>
      <c r="F158" s="206"/>
      <c r="G158" s="206"/>
      <c r="H158" s="206"/>
    </row>
    <row r="159" spans="5:8" ht="14.25" customHeight="1">
      <c r="E159" s="71"/>
      <c r="F159" s="206"/>
      <c r="G159" s="206"/>
      <c r="H159" s="206"/>
    </row>
    <row r="160" spans="5:8" ht="14.25" customHeight="1">
      <c r="E160" s="71"/>
      <c r="F160" s="206"/>
      <c r="G160" s="206"/>
      <c r="H160" s="206"/>
    </row>
    <row r="161" spans="5:8" ht="14.25" customHeight="1">
      <c r="E161" s="71"/>
      <c r="F161" s="206"/>
      <c r="G161" s="206"/>
      <c r="H161" s="206"/>
    </row>
    <row r="162" spans="5:8" ht="14.25" customHeight="1">
      <c r="E162" s="71"/>
      <c r="F162" s="206"/>
      <c r="G162" s="206"/>
      <c r="H162" s="206"/>
    </row>
    <row r="163" spans="5:8" ht="14.25" customHeight="1">
      <c r="E163" s="71"/>
      <c r="F163" s="206"/>
      <c r="G163" s="206"/>
      <c r="H163" s="206"/>
    </row>
    <row r="164" spans="5:8" ht="14.25" customHeight="1">
      <c r="E164" s="71"/>
      <c r="F164" s="206"/>
      <c r="G164" s="206"/>
      <c r="H164" s="206"/>
    </row>
    <row r="165" spans="5:8" ht="14.25" customHeight="1">
      <c r="E165" s="71"/>
      <c r="F165" s="206"/>
      <c r="G165" s="206"/>
      <c r="H165" s="206"/>
    </row>
    <row r="166" spans="5:8" ht="14.25" customHeight="1">
      <c r="E166" s="71"/>
      <c r="F166" s="206"/>
      <c r="G166" s="206"/>
      <c r="H166" s="206"/>
    </row>
    <row r="167" spans="5:8" ht="14.25" customHeight="1">
      <c r="E167" s="71"/>
      <c r="F167" s="206"/>
      <c r="G167" s="206"/>
      <c r="H167" s="206"/>
    </row>
    <row r="168" spans="5:8" ht="14.25" customHeight="1">
      <c r="E168" s="71"/>
      <c r="F168" s="206"/>
      <c r="G168" s="206"/>
      <c r="H168" s="206"/>
    </row>
    <row r="169" spans="5:8" ht="14.25" customHeight="1">
      <c r="E169" s="71"/>
      <c r="F169" s="206"/>
      <c r="G169" s="206"/>
      <c r="H169" s="206"/>
    </row>
    <row r="170" spans="5:8" ht="14.25" customHeight="1">
      <c r="E170" s="71"/>
      <c r="F170" s="206"/>
      <c r="G170" s="206"/>
      <c r="H170" s="206"/>
    </row>
    <row r="171" spans="5:8" ht="14.25" customHeight="1">
      <c r="E171" s="71"/>
      <c r="F171" s="206"/>
      <c r="G171" s="206"/>
      <c r="H171" s="206"/>
    </row>
    <row r="172" spans="5:8" ht="14.25" customHeight="1">
      <c r="E172" s="71"/>
      <c r="F172" s="206"/>
      <c r="G172" s="206"/>
      <c r="H172" s="206"/>
    </row>
    <row r="173" spans="5:8" ht="14.25" customHeight="1">
      <c r="E173" s="71"/>
      <c r="F173" s="206"/>
      <c r="G173" s="206"/>
      <c r="H173" s="206"/>
    </row>
    <row r="174" spans="5:8" ht="14.25" customHeight="1">
      <c r="E174" s="71"/>
      <c r="F174" s="206"/>
      <c r="G174" s="206"/>
      <c r="H174" s="206"/>
    </row>
    <row r="175" spans="5:8" ht="14.25" customHeight="1">
      <c r="E175" s="71"/>
      <c r="F175" s="206"/>
      <c r="G175" s="206"/>
      <c r="H175" s="206"/>
    </row>
    <row r="176" spans="5:8" ht="14.25" customHeight="1">
      <c r="E176" s="71"/>
      <c r="F176" s="206"/>
      <c r="G176" s="206"/>
      <c r="H176" s="206"/>
    </row>
    <row r="177" spans="5:8" ht="14.25" customHeight="1">
      <c r="E177" s="71"/>
      <c r="F177" s="206"/>
      <c r="G177" s="206"/>
      <c r="H177" s="206"/>
    </row>
    <row r="178" spans="5:8" ht="14.25" customHeight="1">
      <c r="E178" s="71"/>
      <c r="F178" s="206"/>
      <c r="G178" s="206"/>
      <c r="H178" s="206"/>
    </row>
    <row r="179" spans="5:8" ht="14.25" customHeight="1">
      <c r="E179" s="71"/>
      <c r="F179" s="206"/>
      <c r="G179" s="206"/>
      <c r="H179" s="206"/>
    </row>
    <row r="180" spans="5:8" ht="14.25" customHeight="1">
      <c r="E180" s="71"/>
      <c r="F180" s="206"/>
      <c r="G180" s="206"/>
      <c r="H180" s="206"/>
    </row>
    <row r="181" spans="5:8" ht="14.25" customHeight="1">
      <c r="E181" s="71"/>
      <c r="F181" s="206"/>
      <c r="G181" s="206"/>
      <c r="H181" s="206"/>
    </row>
    <row r="182" spans="5:8" ht="14.25" customHeight="1">
      <c r="E182" s="71"/>
      <c r="F182" s="206"/>
      <c r="G182" s="206"/>
      <c r="H182" s="206"/>
    </row>
    <row r="183" spans="5:8" ht="14.25" customHeight="1">
      <c r="E183" s="71"/>
      <c r="F183" s="206"/>
      <c r="G183" s="206"/>
      <c r="H183" s="206"/>
    </row>
    <row r="184" spans="5:8" ht="14.25" customHeight="1">
      <c r="E184" s="71"/>
      <c r="F184" s="206"/>
      <c r="G184" s="206"/>
      <c r="H184" s="206"/>
    </row>
    <row r="185" spans="5:8" ht="14.25" customHeight="1">
      <c r="E185" s="71"/>
      <c r="F185" s="206"/>
      <c r="G185" s="206"/>
      <c r="H185" s="206"/>
    </row>
    <row r="186" spans="5:8" ht="14.25" customHeight="1">
      <c r="E186" s="71"/>
      <c r="F186" s="206"/>
      <c r="G186" s="206"/>
      <c r="H186" s="206"/>
    </row>
    <row r="187" spans="5:8" ht="14.25" customHeight="1">
      <c r="E187" s="71"/>
      <c r="F187" s="206"/>
      <c r="G187" s="206"/>
      <c r="H187" s="206"/>
    </row>
    <row r="188" spans="5:8" ht="14.25" customHeight="1">
      <c r="E188" s="71"/>
      <c r="F188" s="206"/>
      <c r="G188" s="206"/>
      <c r="H188" s="206"/>
    </row>
    <row r="189" spans="5:8" ht="14.25" customHeight="1">
      <c r="E189" s="71"/>
      <c r="F189" s="206"/>
      <c r="G189" s="206"/>
      <c r="H189" s="206"/>
    </row>
    <row r="190" spans="5:8" ht="14.25" customHeight="1">
      <c r="E190" s="71"/>
      <c r="F190" s="206"/>
      <c r="G190" s="206"/>
      <c r="H190" s="206"/>
    </row>
    <row r="191" spans="5:8" ht="14.25" customHeight="1">
      <c r="E191" s="71"/>
      <c r="F191" s="206"/>
      <c r="G191" s="206"/>
      <c r="H191" s="206"/>
    </row>
    <row r="192" spans="5:8" ht="14.25" customHeight="1">
      <c r="E192" s="71"/>
      <c r="F192" s="206"/>
      <c r="G192" s="206"/>
      <c r="H192" s="206"/>
    </row>
    <row r="193" spans="5:8" ht="14.25" customHeight="1">
      <c r="E193" s="71"/>
      <c r="F193" s="206"/>
      <c r="G193" s="206"/>
      <c r="H193" s="206"/>
    </row>
    <row r="194" spans="5:8" ht="14.25" customHeight="1">
      <c r="E194" s="71"/>
      <c r="F194" s="206"/>
      <c r="G194" s="206"/>
      <c r="H194" s="206"/>
    </row>
    <row r="195" spans="5:8" ht="14.25" customHeight="1">
      <c r="E195" s="71"/>
      <c r="F195" s="206"/>
      <c r="G195" s="206"/>
      <c r="H195" s="206"/>
    </row>
    <row r="196" spans="5:8" ht="14.25" customHeight="1">
      <c r="E196" s="71"/>
      <c r="F196" s="206"/>
      <c r="G196" s="206"/>
      <c r="H196" s="206"/>
    </row>
    <row r="197" spans="5:8" ht="14.25" customHeight="1">
      <c r="E197" s="71"/>
      <c r="F197" s="206"/>
      <c r="G197" s="206"/>
      <c r="H197" s="206"/>
    </row>
    <row r="198" spans="5:8" ht="14.25" customHeight="1">
      <c r="E198" s="71"/>
      <c r="F198" s="206"/>
      <c r="G198" s="206"/>
      <c r="H198" s="206"/>
    </row>
    <row r="199" spans="5:8" ht="14.25" customHeight="1">
      <c r="E199" s="71"/>
      <c r="F199" s="206"/>
      <c r="G199" s="206"/>
      <c r="H199" s="206"/>
    </row>
    <row r="200" spans="5:8" ht="14.25" customHeight="1">
      <c r="E200" s="71"/>
      <c r="F200" s="206"/>
      <c r="G200" s="206"/>
      <c r="H200" s="206"/>
    </row>
    <row r="201" spans="5:8" ht="14.25" customHeight="1">
      <c r="E201" s="71"/>
      <c r="F201" s="206"/>
      <c r="G201" s="206"/>
      <c r="H201" s="206"/>
    </row>
    <row r="202" spans="5:8" ht="14.25" customHeight="1">
      <c r="E202" s="71"/>
      <c r="F202" s="206"/>
      <c r="G202" s="206"/>
      <c r="H202" s="206"/>
    </row>
    <row r="203" spans="5:8" ht="14.25" customHeight="1">
      <c r="E203" s="71"/>
      <c r="F203" s="206"/>
      <c r="G203" s="206"/>
      <c r="H203" s="206"/>
    </row>
    <row r="204" spans="5:8" ht="14.25" customHeight="1">
      <c r="E204" s="71"/>
      <c r="F204" s="206"/>
      <c r="G204" s="206"/>
      <c r="H204" s="206"/>
    </row>
    <row r="205" spans="5:8" ht="14.25" customHeight="1">
      <c r="E205" s="71"/>
      <c r="F205" s="206"/>
      <c r="G205" s="206"/>
      <c r="H205" s="206"/>
    </row>
    <row r="206" spans="5:8" ht="14.25" customHeight="1">
      <c r="E206" s="71"/>
      <c r="F206" s="206"/>
      <c r="G206" s="206"/>
      <c r="H206" s="206"/>
    </row>
    <row r="207" spans="5:8" ht="14.25" customHeight="1">
      <c r="E207" s="71"/>
      <c r="F207" s="206"/>
      <c r="G207" s="206"/>
      <c r="H207" s="206"/>
    </row>
    <row r="208" spans="5:8" ht="14.25" customHeight="1">
      <c r="E208" s="71"/>
      <c r="F208" s="206"/>
      <c r="G208" s="206"/>
      <c r="H208" s="206"/>
    </row>
    <row r="209" spans="5:8" ht="14.25" customHeight="1">
      <c r="E209" s="71"/>
      <c r="F209" s="206"/>
      <c r="G209" s="206"/>
      <c r="H209" s="206"/>
    </row>
    <row r="210" spans="5:8" ht="14.25" customHeight="1">
      <c r="E210" s="71"/>
      <c r="F210" s="206"/>
      <c r="G210" s="206"/>
      <c r="H210" s="206"/>
    </row>
    <row r="211" spans="5:8" ht="14.25" customHeight="1">
      <c r="E211" s="71"/>
      <c r="F211" s="206"/>
      <c r="G211" s="206"/>
      <c r="H211" s="206"/>
    </row>
    <row r="212" spans="5:8" ht="14.25" customHeight="1">
      <c r="E212" s="71"/>
      <c r="F212" s="206"/>
      <c r="G212" s="206"/>
      <c r="H212" s="206"/>
    </row>
    <row r="213" spans="5:8" ht="14.25" customHeight="1">
      <c r="E213" s="71"/>
      <c r="F213" s="206"/>
      <c r="G213" s="206"/>
      <c r="H213" s="206"/>
    </row>
    <row r="214" spans="5:8" ht="14.25" customHeight="1">
      <c r="E214" s="71"/>
      <c r="F214" s="206"/>
      <c r="G214" s="206"/>
      <c r="H214" s="206"/>
    </row>
    <row r="215" spans="5:8" ht="14.25" customHeight="1">
      <c r="E215" s="71"/>
      <c r="F215" s="206"/>
      <c r="G215" s="206"/>
      <c r="H215" s="206"/>
    </row>
    <row r="216" spans="5:8" ht="14.25" customHeight="1">
      <c r="E216" s="71"/>
      <c r="F216" s="206"/>
      <c r="G216" s="206"/>
      <c r="H216" s="206"/>
    </row>
    <row r="217" spans="5:8" ht="14.25" customHeight="1">
      <c r="E217" s="71"/>
      <c r="F217" s="206"/>
      <c r="G217" s="206"/>
      <c r="H217" s="206"/>
    </row>
    <row r="218" spans="5:8" ht="14.25" customHeight="1">
      <c r="E218" s="71"/>
      <c r="F218" s="206"/>
      <c r="G218" s="206"/>
      <c r="H218" s="206"/>
    </row>
    <row r="219" spans="5:8" ht="14.25" customHeight="1">
      <c r="E219" s="71"/>
      <c r="F219" s="206"/>
      <c r="G219" s="206"/>
      <c r="H219" s="206"/>
    </row>
    <row r="220" spans="5:8" ht="14.25" customHeight="1">
      <c r="E220" s="71"/>
      <c r="F220" s="206"/>
      <c r="G220" s="206"/>
      <c r="H220" s="206"/>
    </row>
    <row r="221" spans="5:8" ht="14.25" customHeight="1">
      <c r="E221" s="71"/>
      <c r="F221" s="206"/>
      <c r="G221" s="206"/>
      <c r="H221" s="206"/>
    </row>
    <row r="222" spans="5:8" ht="14.25" customHeight="1">
      <c r="E222" s="71"/>
      <c r="F222" s="206"/>
      <c r="G222" s="206"/>
      <c r="H222" s="206"/>
    </row>
    <row r="223" spans="5:8" ht="14.25" customHeight="1">
      <c r="E223" s="71"/>
      <c r="F223" s="206"/>
      <c r="G223" s="206"/>
      <c r="H223" s="206"/>
    </row>
    <row r="224" spans="5:8" ht="14.25" customHeight="1">
      <c r="E224" s="71"/>
      <c r="F224" s="206"/>
      <c r="G224" s="206"/>
      <c r="H224" s="206"/>
    </row>
    <row r="225" spans="5:8" ht="14.25" customHeight="1">
      <c r="E225" s="71"/>
      <c r="F225" s="206"/>
      <c r="G225" s="206"/>
      <c r="H225" s="206"/>
    </row>
    <row r="226" spans="5:8" ht="14.25" customHeight="1">
      <c r="E226" s="71"/>
      <c r="F226" s="206"/>
      <c r="G226" s="206"/>
      <c r="H226" s="206"/>
    </row>
    <row r="227" spans="5:8" ht="14.25" customHeight="1">
      <c r="E227" s="71"/>
      <c r="F227" s="206"/>
      <c r="G227" s="206"/>
      <c r="H227" s="206"/>
    </row>
    <row r="228" spans="5:8" ht="14.25" customHeight="1">
      <c r="E228" s="71"/>
      <c r="F228" s="206"/>
      <c r="G228" s="206"/>
      <c r="H228" s="206"/>
    </row>
    <row r="229" spans="5:8" ht="14.25" customHeight="1">
      <c r="E229" s="71"/>
      <c r="F229" s="206"/>
      <c r="G229" s="206"/>
      <c r="H229" s="206"/>
    </row>
    <row r="230" spans="5:8" ht="14.25" customHeight="1">
      <c r="E230" s="71"/>
      <c r="F230" s="206"/>
      <c r="G230" s="206"/>
      <c r="H230" s="206"/>
    </row>
    <row r="231" spans="5:8" ht="14.25" customHeight="1">
      <c r="E231" s="71"/>
      <c r="F231" s="206"/>
      <c r="G231" s="206"/>
      <c r="H231" s="206"/>
    </row>
    <row r="232" spans="5:8" ht="14.25" customHeight="1">
      <c r="E232" s="71"/>
      <c r="F232" s="206"/>
      <c r="G232" s="206"/>
      <c r="H232" s="206"/>
    </row>
    <row r="233" spans="5:8" ht="14.25" customHeight="1">
      <c r="E233" s="71"/>
      <c r="F233" s="206"/>
      <c r="G233" s="206"/>
      <c r="H233" s="206"/>
    </row>
    <row r="234" spans="5:8" ht="14.25" customHeight="1">
      <c r="E234" s="71"/>
      <c r="F234" s="206"/>
      <c r="G234" s="206"/>
      <c r="H234" s="206"/>
    </row>
    <row r="235" spans="5:8" ht="14.25" customHeight="1">
      <c r="E235" s="71"/>
      <c r="F235" s="206"/>
      <c r="G235" s="206"/>
      <c r="H235" s="206"/>
    </row>
    <row r="236" spans="5:8" ht="14.25" customHeight="1">
      <c r="E236" s="71"/>
      <c r="F236" s="206"/>
      <c r="G236" s="206"/>
      <c r="H236" s="206"/>
    </row>
    <row r="237" spans="5:8" ht="14.25" customHeight="1">
      <c r="E237" s="71"/>
      <c r="F237" s="206"/>
      <c r="G237" s="206"/>
      <c r="H237" s="206"/>
    </row>
    <row r="238" spans="5:8" ht="14.25" customHeight="1">
      <c r="E238" s="71"/>
      <c r="F238" s="206"/>
      <c r="G238" s="206"/>
      <c r="H238" s="206"/>
    </row>
    <row r="239" spans="5:8" ht="14.25" customHeight="1">
      <c r="E239" s="71"/>
      <c r="F239" s="206"/>
      <c r="G239" s="206"/>
      <c r="H239" s="206"/>
    </row>
    <row r="240" spans="5:8" ht="14.25" customHeight="1">
      <c r="E240" s="71"/>
      <c r="F240" s="206"/>
      <c r="G240" s="206"/>
      <c r="H240" s="206"/>
    </row>
    <row r="241" spans="5:8" ht="14.25" customHeight="1">
      <c r="E241" s="71"/>
      <c r="F241" s="206"/>
      <c r="G241" s="206"/>
      <c r="H241" s="206"/>
    </row>
    <row r="242" spans="5:8" ht="14.25" customHeight="1">
      <c r="E242" s="71"/>
      <c r="F242" s="206"/>
      <c r="G242" s="206"/>
      <c r="H242" s="206"/>
    </row>
    <row r="243" spans="5:8" ht="14.25" customHeight="1">
      <c r="E243" s="71"/>
      <c r="F243" s="206"/>
      <c r="G243" s="206"/>
      <c r="H243" s="206"/>
    </row>
    <row r="244" spans="5:8" ht="14.25" customHeight="1">
      <c r="E244" s="71"/>
      <c r="F244" s="206"/>
      <c r="G244" s="206"/>
      <c r="H244" s="206"/>
    </row>
    <row r="245" spans="5:8" ht="14.25" customHeight="1">
      <c r="E245" s="71"/>
      <c r="F245" s="206"/>
      <c r="G245" s="206"/>
      <c r="H245" s="206"/>
    </row>
    <row r="246" spans="5:8" ht="14.25" customHeight="1">
      <c r="E246" s="71"/>
      <c r="F246" s="206"/>
      <c r="G246" s="206"/>
      <c r="H246" s="206"/>
    </row>
    <row r="247" spans="5:8" ht="14.25" customHeight="1">
      <c r="E247" s="71"/>
      <c r="F247" s="206"/>
      <c r="G247" s="206"/>
      <c r="H247" s="206"/>
    </row>
    <row r="248" spans="5:8" ht="14.25" customHeight="1">
      <c r="E248" s="71"/>
      <c r="F248" s="206"/>
      <c r="G248" s="206"/>
      <c r="H248" s="206"/>
    </row>
    <row r="249" spans="5:8" ht="14.25" customHeight="1">
      <c r="E249" s="71"/>
      <c r="F249" s="206"/>
      <c r="G249" s="206"/>
      <c r="H249" s="206"/>
    </row>
    <row r="250" spans="5:8" ht="14.25" customHeight="1">
      <c r="E250" s="71"/>
      <c r="F250" s="206"/>
      <c r="G250" s="206"/>
      <c r="H250" s="206"/>
    </row>
    <row r="251" spans="5:8" ht="14.25" customHeight="1">
      <c r="E251" s="71"/>
      <c r="F251" s="206"/>
      <c r="G251" s="206"/>
      <c r="H251" s="206"/>
    </row>
    <row r="252" spans="5:8" ht="14.25" customHeight="1">
      <c r="E252" s="71"/>
      <c r="F252" s="206"/>
      <c r="G252" s="206"/>
      <c r="H252" s="206"/>
    </row>
    <row r="253" spans="5:8" ht="14.25" customHeight="1">
      <c r="E253" s="71"/>
      <c r="F253" s="206"/>
      <c r="G253" s="206"/>
      <c r="H253" s="206"/>
    </row>
    <row r="254" spans="5:8" ht="14.25" customHeight="1">
      <c r="E254" s="71"/>
      <c r="F254" s="206"/>
      <c r="G254" s="206"/>
      <c r="H254" s="206"/>
    </row>
    <row r="255" spans="5:8" ht="14.25" customHeight="1">
      <c r="E255" s="71"/>
      <c r="F255" s="206"/>
      <c r="G255" s="206"/>
      <c r="H255" s="206"/>
    </row>
    <row r="256" spans="5:8" ht="14.25" customHeight="1">
      <c r="E256" s="71"/>
      <c r="F256" s="206"/>
      <c r="G256" s="206"/>
      <c r="H256" s="206"/>
    </row>
    <row r="257" spans="5:8" ht="14.25" customHeight="1">
      <c r="E257" s="71"/>
      <c r="F257" s="206"/>
      <c r="G257" s="206"/>
      <c r="H257" s="206"/>
    </row>
    <row r="258" spans="5:8" ht="14.25" customHeight="1">
      <c r="E258" s="71"/>
      <c r="F258" s="206"/>
      <c r="G258" s="206"/>
      <c r="H258" s="206"/>
    </row>
    <row r="259" spans="5:8" ht="14.25" customHeight="1">
      <c r="E259" s="71"/>
      <c r="F259" s="206"/>
      <c r="G259" s="206"/>
      <c r="H259" s="206"/>
    </row>
    <row r="260" spans="5:8" ht="14.25" customHeight="1">
      <c r="E260" s="71"/>
      <c r="F260" s="206"/>
      <c r="G260" s="206"/>
      <c r="H260" s="206"/>
    </row>
    <row r="261" spans="5:8" ht="14.25" customHeight="1">
      <c r="E261" s="71"/>
      <c r="F261" s="206"/>
      <c r="G261" s="206"/>
      <c r="H261" s="206"/>
    </row>
    <row r="262" spans="5:8" ht="14.25" customHeight="1">
      <c r="E262" s="71"/>
      <c r="F262" s="206"/>
      <c r="G262" s="206"/>
      <c r="H262" s="206"/>
    </row>
    <row r="263" spans="5:8" ht="14.25" customHeight="1">
      <c r="E263" s="71"/>
      <c r="F263" s="206"/>
      <c r="G263" s="206"/>
      <c r="H263" s="206"/>
    </row>
    <row r="264" spans="5:8" ht="14.25" customHeight="1">
      <c r="E264" s="71"/>
      <c r="F264" s="206"/>
      <c r="G264" s="206"/>
      <c r="H264" s="206"/>
    </row>
    <row r="265" spans="5:8" ht="14.25" customHeight="1">
      <c r="E265" s="71"/>
      <c r="F265" s="206"/>
      <c r="G265" s="206"/>
      <c r="H265" s="206"/>
    </row>
    <row r="266" spans="5:8" ht="14.25" customHeight="1">
      <c r="E266" s="71"/>
      <c r="F266" s="206"/>
      <c r="G266" s="206"/>
      <c r="H266" s="206"/>
    </row>
    <row r="267" spans="5:8" ht="14.25" customHeight="1">
      <c r="E267" s="71"/>
      <c r="F267" s="206"/>
      <c r="G267" s="206"/>
      <c r="H267" s="206"/>
    </row>
    <row r="268" spans="5:8" ht="14.25" customHeight="1">
      <c r="E268" s="71"/>
      <c r="F268" s="206"/>
      <c r="G268" s="206"/>
      <c r="H268" s="206"/>
    </row>
    <row r="269" spans="5:8" ht="14.25" customHeight="1">
      <c r="E269" s="71"/>
      <c r="F269" s="206"/>
      <c r="G269" s="206"/>
      <c r="H269" s="206"/>
    </row>
    <row r="270" spans="5:8" ht="14.25" customHeight="1">
      <c r="E270" s="71"/>
      <c r="F270" s="206"/>
      <c r="G270" s="206"/>
      <c r="H270" s="206"/>
    </row>
    <row r="271" spans="5:8" ht="14.25" customHeight="1">
      <c r="E271" s="71"/>
      <c r="F271" s="206"/>
      <c r="G271" s="206"/>
      <c r="H271" s="206"/>
    </row>
    <row r="272" spans="5:8" ht="14.25" customHeight="1">
      <c r="E272" s="71"/>
      <c r="F272" s="206"/>
      <c r="G272" s="206"/>
      <c r="H272" s="206"/>
    </row>
    <row r="273" spans="5:8" ht="14.25" customHeight="1">
      <c r="E273" s="71"/>
      <c r="F273" s="206"/>
      <c r="G273" s="206"/>
      <c r="H273" s="206"/>
    </row>
    <row r="274" spans="5:8" ht="14.25" customHeight="1">
      <c r="E274" s="71"/>
      <c r="F274" s="206"/>
      <c r="G274" s="206"/>
      <c r="H274" s="206"/>
    </row>
    <row r="275" spans="5:8" ht="14.25" customHeight="1">
      <c r="E275" s="71"/>
      <c r="F275" s="206"/>
      <c r="G275" s="206"/>
      <c r="H275" s="206"/>
    </row>
    <row r="276" spans="5:8" ht="14.25" customHeight="1">
      <c r="E276" s="71"/>
      <c r="F276" s="206"/>
      <c r="G276" s="206"/>
      <c r="H276" s="206"/>
    </row>
    <row r="277" spans="5:8" ht="14.25" customHeight="1">
      <c r="E277" s="71"/>
      <c r="F277" s="206"/>
      <c r="G277" s="206"/>
      <c r="H277" s="206"/>
    </row>
    <row r="278" spans="5:8" ht="14.25" customHeight="1">
      <c r="E278" s="71"/>
      <c r="F278" s="206"/>
      <c r="G278" s="206"/>
      <c r="H278" s="206"/>
    </row>
    <row r="279" spans="5:8" ht="14.25" customHeight="1">
      <c r="E279" s="71"/>
      <c r="F279" s="206"/>
      <c r="G279" s="206"/>
      <c r="H279" s="206"/>
    </row>
    <row r="280" spans="5:8" ht="14.25" customHeight="1">
      <c r="E280" s="71"/>
      <c r="F280" s="206"/>
      <c r="G280" s="206"/>
      <c r="H280" s="206"/>
    </row>
    <row r="281" spans="5:8" ht="14.25" customHeight="1">
      <c r="E281" s="71"/>
      <c r="F281" s="206"/>
      <c r="G281" s="206"/>
      <c r="H281" s="206"/>
    </row>
    <row r="282" spans="5:8" ht="14.25" customHeight="1">
      <c r="E282" s="71"/>
      <c r="F282" s="206"/>
      <c r="G282" s="206"/>
      <c r="H282" s="206"/>
    </row>
    <row r="283" spans="5:8" ht="14.25" customHeight="1">
      <c r="E283" s="71"/>
      <c r="F283" s="206"/>
      <c r="G283" s="206"/>
      <c r="H283" s="206"/>
    </row>
    <row r="284" spans="5:8" ht="14.25" customHeight="1">
      <c r="E284" s="71"/>
      <c r="F284" s="206"/>
      <c r="G284" s="206"/>
      <c r="H284" s="206"/>
    </row>
    <row r="285" spans="5:8" ht="14.25" customHeight="1">
      <c r="E285" s="71"/>
      <c r="F285" s="206"/>
      <c r="G285" s="206"/>
      <c r="H285" s="206"/>
    </row>
    <row r="286" spans="5:8" ht="14.25" customHeight="1">
      <c r="E286" s="71"/>
      <c r="F286" s="206"/>
      <c r="G286" s="206"/>
      <c r="H286" s="206"/>
    </row>
    <row r="287" spans="5:8" ht="14.25" customHeight="1">
      <c r="E287" s="71"/>
      <c r="F287" s="206"/>
      <c r="G287" s="206"/>
      <c r="H287" s="206"/>
    </row>
    <row r="288" spans="5:8" ht="14.25" customHeight="1">
      <c r="E288" s="71"/>
      <c r="F288" s="206"/>
      <c r="G288" s="206"/>
      <c r="H288" s="206"/>
    </row>
    <row r="289" spans="5:8" ht="14.25" customHeight="1">
      <c r="E289" s="71"/>
      <c r="F289" s="206"/>
      <c r="G289" s="206"/>
      <c r="H289" s="206"/>
    </row>
    <row r="290" spans="5:8" ht="14.25" customHeight="1">
      <c r="E290" s="71"/>
      <c r="F290" s="206"/>
      <c r="G290" s="206"/>
      <c r="H290" s="206"/>
    </row>
    <row r="291" spans="5:8" ht="14.25" customHeight="1">
      <c r="E291" s="71"/>
      <c r="F291" s="206"/>
      <c r="G291" s="206"/>
      <c r="H291" s="206"/>
    </row>
    <row r="292" spans="5:8" ht="14.25" customHeight="1">
      <c r="E292" s="71"/>
      <c r="F292" s="206"/>
      <c r="G292" s="206"/>
      <c r="H292" s="206"/>
    </row>
    <row r="293" spans="5:8" ht="14.25" customHeight="1">
      <c r="E293" s="71"/>
      <c r="F293" s="206"/>
      <c r="G293" s="206"/>
      <c r="H293" s="206"/>
    </row>
    <row r="294" spans="5:8" ht="14.25" customHeight="1">
      <c r="E294" s="71"/>
      <c r="F294" s="206"/>
      <c r="G294" s="206"/>
      <c r="H294" s="206"/>
    </row>
    <row r="295" spans="5:8" ht="14.25" customHeight="1">
      <c r="E295" s="71"/>
      <c r="F295" s="206"/>
      <c r="G295" s="206"/>
      <c r="H295" s="206"/>
    </row>
    <row r="296" spans="5:8" ht="14.25" customHeight="1">
      <c r="E296" s="71"/>
      <c r="F296" s="206"/>
      <c r="G296" s="206"/>
      <c r="H296" s="206"/>
    </row>
    <row r="297" spans="5:8" ht="14.25" customHeight="1">
      <c r="E297" s="71"/>
      <c r="F297" s="206"/>
      <c r="G297" s="206"/>
      <c r="H297" s="206"/>
    </row>
    <row r="298" spans="5:8" ht="14.25" customHeight="1">
      <c r="E298" s="71"/>
      <c r="F298" s="206"/>
      <c r="G298" s="206"/>
      <c r="H298" s="206"/>
    </row>
    <row r="299" spans="5:8" ht="14.25" customHeight="1">
      <c r="E299" s="71"/>
      <c r="F299" s="206"/>
      <c r="G299" s="206"/>
      <c r="H299" s="206"/>
    </row>
    <row r="300" spans="5:8" ht="14.25" customHeight="1">
      <c r="E300" s="71"/>
      <c r="F300" s="206"/>
      <c r="G300" s="206"/>
      <c r="H300" s="206"/>
    </row>
    <row r="301" spans="5:8" ht="14.25" customHeight="1">
      <c r="E301" s="71"/>
      <c r="F301" s="206"/>
      <c r="G301" s="206"/>
      <c r="H301" s="206"/>
    </row>
    <row r="302" spans="5:8" ht="14.25" customHeight="1">
      <c r="E302" s="71"/>
      <c r="F302" s="206"/>
      <c r="G302" s="206"/>
      <c r="H302" s="206"/>
    </row>
    <row r="303" spans="5:8" ht="14.25" customHeight="1">
      <c r="E303" s="71"/>
      <c r="F303" s="206"/>
      <c r="G303" s="206"/>
      <c r="H303" s="206"/>
    </row>
    <row r="304" spans="5:8" ht="14.25" customHeight="1">
      <c r="E304" s="71"/>
      <c r="F304" s="206"/>
      <c r="G304" s="206"/>
      <c r="H304" s="206"/>
    </row>
    <row r="305" spans="5:8" ht="14.25" customHeight="1">
      <c r="E305" s="71"/>
      <c r="F305" s="206"/>
      <c r="G305" s="206"/>
      <c r="H305" s="206"/>
    </row>
    <row r="306" spans="5:8" ht="14.25" customHeight="1">
      <c r="E306" s="71"/>
      <c r="F306" s="206"/>
      <c r="G306" s="206"/>
      <c r="H306" s="206"/>
    </row>
    <row r="307" spans="5:8" ht="14.25" customHeight="1">
      <c r="E307" s="71"/>
      <c r="F307" s="206"/>
      <c r="G307" s="206"/>
      <c r="H307" s="206"/>
    </row>
    <row r="308" spans="5:8" ht="14.25" customHeight="1">
      <c r="E308" s="71"/>
      <c r="F308" s="206"/>
      <c r="G308" s="206"/>
      <c r="H308" s="206"/>
    </row>
    <row r="309" spans="5:8" ht="14.25" customHeight="1">
      <c r="E309" s="71"/>
      <c r="F309" s="206"/>
      <c r="G309" s="206"/>
      <c r="H309" s="206"/>
    </row>
    <row r="310" spans="5:8" ht="14.25" customHeight="1">
      <c r="E310" s="71"/>
      <c r="F310" s="206"/>
      <c r="G310" s="206"/>
      <c r="H310" s="206"/>
    </row>
    <row r="311" spans="5:8" ht="14.25" customHeight="1">
      <c r="E311" s="71"/>
      <c r="F311" s="206"/>
      <c r="G311" s="206"/>
      <c r="H311" s="206"/>
    </row>
    <row r="312" spans="5:8" ht="14.25" customHeight="1">
      <c r="E312" s="71"/>
      <c r="F312" s="206"/>
      <c r="G312" s="206"/>
      <c r="H312" s="206"/>
    </row>
    <row r="313" spans="5:8" ht="14.25" customHeight="1">
      <c r="E313" s="71"/>
      <c r="F313" s="206"/>
      <c r="G313" s="206"/>
      <c r="H313" s="206"/>
    </row>
    <row r="314" spans="5:8" ht="14.25" customHeight="1">
      <c r="E314" s="71"/>
      <c r="F314" s="206"/>
      <c r="G314" s="206"/>
      <c r="H314" s="206"/>
    </row>
    <row r="315" spans="5:8" ht="14.25" customHeight="1">
      <c r="E315" s="71"/>
      <c r="F315" s="206"/>
      <c r="G315" s="206"/>
      <c r="H315" s="206"/>
    </row>
    <row r="316" spans="5:8" ht="14.25" customHeight="1">
      <c r="E316" s="71"/>
      <c r="F316" s="206"/>
      <c r="G316" s="206"/>
      <c r="H316" s="206"/>
    </row>
    <row r="317" spans="5:8" ht="14.25" customHeight="1">
      <c r="E317" s="71"/>
      <c r="F317" s="206"/>
      <c r="G317" s="206"/>
      <c r="H317" s="206"/>
    </row>
    <row r="318" spans="5:8" ht="14.25" customHeight="1">
      <c r="E318" s="71"/>
      <c r="F318" s="206"/>
      <c r="G318" s="206"/>
      <c r="H318" s="206"/>
    </row>
    <row r="319" spans="5:8" ht="14.25" customHeight="1">
      <c r="E319" s="71"/>
      <c r="F319" s="206"/>
      <c r="G319" s="206"/>
      <c r="H319" s="206"/>
    </row>
    <row r="320" spans="5:8" ht="14.25" customHeight="1">
      <c r="E320" s="71"/>
      <c r="F320" s="206"/>
      <c r="G320" s="206"/>
      <c r="H320" s="206"/>
    </row>
    <row r="321" spans="5:8" ht="14.25" customHeight="1">
      <c r="E321" s="71"/>
      <c r="F321" s="206"/>
      <c r="G321" s="206"/>
      <c r="H321" s="206"/>
    </row>
    <row r="322" spans="5:8" ht="14.25" customHeight="1">
      <c r="E322" s="71"/>
      <c r="F322" s="206"/>
      <c r="G322" s="206"/>
      <c r="H322" s="206"/>
    </row>
    <row r="323" spans="5:8" ht="14.25" customHeight="1">
      <c r="E323" s="71"/>
      <c r="F323" s="206"/>
      <c r="G323" s="206"/>
      <c r="H323" s="206"/>
    </row>
    <row r="324" spans="5:8" ht="14.25" customHeight="1">
      <c r="E324" s="71"/>
      <c r="F324" s="206"/>
      <c r="G324" s="206"/>
      <c r="H324" s="206"/>
    </row>
    <row r="325" spans="5:8" ht="14.25" customHeight="1">
      <c r="E325" s="71"/>
      <c r="F325" s="206"/>
      <c r="G325" s="206"/>
      <c r="H325" s="206"/>
    </row>
    <row r="326" spans="5:8" ht="14.25" customHeight="1">
      <c r="E326" s="71"/>
      <c r="F326" s="206"/>
      <c r="G326" s="206"/>
      <c r="H326" s="206"/>
    </row>
    <row r="327" spans="5:8" ht="14.25" customHeight="1">
      <c r="E327" s="71"/>
      <c r="F327" s="206"/>
      <c r="G327" s="206"/>
      <c r="H327" s="206"/>
    </row>
    <row r="328" spans="5:8" ht="14.25" customHeight="1">
      <c r="E328" s="71"/>
      <c r="F328" s="206"/>
      <c r="G328" s="206"/>
      <c r="H328" s="206"/>
    </row>
    <row r="329" spans="5:8" ht="14.25" customHeight="1">
      <c r="E329" s="71"/>
      <c r="F329" s="206"/>
      <c r="G329" s="206"/>
      <c r="H329" s="206"/>
    </row>
    <row r="330" spans="5:8" ht="14.25" customHeight="1">
      <c r="E330" s="71"/>
      <c r="F330" s="206"/>
      <c r="G330" s="206"/>
      <c r="H330" s="206"/>
    </row>
    <row r="331" spans="5:8" ht="14.25" customHeight="1">
      <c r="E331" s="71"/>
      <c r="F331" s="206"/>
      <c r="G331" s="206"/>
      <c r="H331" s="206"/>
    </row>
    <row r="332" spans="5:8" ht="14.25" customHeight="1">
      <c r="E332" s="71"/>
      <c r="F332" s="206"/>
      <c r="G332" s="206"/>
      <c r="H332" s="206"/>
    </row>
    <row r="333" spans="5:8" ht="14.25" customHeight="1">
      <c r="E333" s="71"/>
      <c r="F333" s="206"/>
      <c r="G333" s="206"/>
      <c r="H333" s="206"/>
    </row>
    <row r="334" spans="5:8" ht="14.25" customHeight="1">
      <c r="E334" s="71"/>
      <c r="F334" s="206"/>
      <c r="G334" s="206"/>
      <c r="H334" s="206"/>
    </row>
    <row r="335" spans="5:8" ht="14.25" customHeight="1">
      <c r="E335" s="71"/>
      <c r="F335" s="206"/>
      <c r="G335" s="206"/>
      <c r="H335" s="206"/>
    </row>
    <row r="336" spans="5:8" ht="14.25" customHeight="1">
      <c r="E336" s="71"/>
      <c r="F336" s="206"/>
      <c r="G336" s="206"/>
      <c r="H336" s="206"/>
    </row>
    <row r="337" spans="5:8" ht="14.25" customHeight="1">
      <c r="E337" s="71"/>
      <c r="F337" s="206"/>
      <c r="G337" s="206"/>
      <c r="H337" s="206"/>
    </row>
    <row r="338" spans="5:8" ht="14.25" customHeight="1">
      <c r="E338" s="71"/>
      <c r="F338" s="206"/>
      <c r="G338" s="206"/>
      <c r="H338" s="206"/>
    </row>
    <row r="339" spans="5:8" ht="14.25" customHeight="1">
      <c r="E339" s="71"/>
      <c r="F339" s="206"/>
      <c r="G339" s="206"/>
      <c r="H339" s="206"/>
    </row>
    <row r="340" spans="5:8" ht="14.25" customHeight="1">
      <c r="E340" s="71"/>
      <c r="F340" s="206"/>
      <c r="G340" s="206"/>
      <c r="H340" s="206"/>
    </row>
    <row r="341" spans="5:8" ht="14.25" customHeight="1">
      <c r="E341" s="71"/>
      <c r="F341" s="206"/>
      <c r="G341" s="206"/>
      <c r="H341" s="206"/>
    </row>
    <row r="342" spans="5:8" ht="14.25" customHeight="1">
      <c r="E342" s="71"/>
      <c r="F342" s="206"/>
      <c r="G342" s="206"/>
      <c r="H342" s="206"/>
    </row>
    <row r="343" spans="5:8" ht="14.25" customHeight="1">
      <c r="E343" s="71"/>
      <c r="F343" s="206"/>
      <c r="G343" s="206"/>
      <c r="H343" s="206"/>
    </row>
    <row r="344" spans="5:8" ht="14.25" customHeight="1">
      <c r="E344" s="71"/>
      <c r="F344" s="206"/>
      <c r="G344" s="206"/>
      <c r="H344" s="206"/>
    </row>
    <row r="345" spans="5:8" ht="14.25" customHeight="1">
      <c r="E345" s="71"/>
      <c r="F345" s="206"/>
      <c r="G345" s="206"/>
      <c r="H345" s="206"/>
    </row>
    <row r="346" spans="5:8" ht="14.25" customHeight="1">
      <c r="E346" s="71"/>
      <c r="F346" s="206"/>
      <c r="G346" s="206"/>
      <c r="H346" s="206"/>
    </row>
    <row r="347" spans="5:8" ht="14.25" customHeight="1">
      <c r="E347" s="71"/>
      <c r="F347" s="206"/>
      <c r="G347" s="206"/>
      <c r="H347" s="206"/>
    </row>
    <row r="348" spans="5:8" ht="14.25" customHeight="1">
      <c r="E348" s="71"/>
      <c r="F348" s="206"/>
      <c r="G348" s="206"/>
      <c r="H348" s="206"/>
    </row>
    <row r="349" spans="5:8" ht="14.25" customHeight="1">
      <c r="E349" s="71"/>
      <c r="F349" s="206"/>
      <c r="G349" s="206"/>
      <c r="H349" s="206"/>
    </row>
    <row r="350" spans="5:8" ht="14.25" customHeight="1">
      <c r="E350" s="71"/>
      <c r="F350" s="206"/>
      <c r="G350" s="206"/>
      <c r="H350" s="206"/>
    </row>
    <row r="351" spans="5:8" ht="14.25" customHeight="1">
      <c r="E351" s="71"/>
      <c r="F351" s="206"/>
      <c r="G351" s="206"/>
      <c r="H351" s="206"/>
    </row>
    <row r="352" spans="5:8" ht="14.25" customHeight="1">
      <c r="E352" s="71"/>
      <c r="F352" s="206"/>
      <c r="G352" s="206"/>
      <c r="H352" s="206"/>
    </row>
    <row r="353" spans="5:8" ht="14.25" customHeight="1">
      <c r="E353" s="71"/>
      <c r="F353" s="206"/>
      <c r="G353" s="206"/>
      <c r="H353" s="206"/>
    </row>
    <row r="354" spans="5:8" ht="14.25" customHeight="1">
      <c r="E354" s="71"/>
      <c r="F354" s="206"/>
      <c r="G354" s="206"/>
      <c r="H354" s="206"/>
    </row>
    <row r="355" spans="5:8" ht="14.25" customHeight="1">
      <c r="E355" s="71"/>
      <c r="F355" s="206"/>
      <c r="G355" s="206"/>
      <c r="H355" s="206"/>
    </row>
    <row r="356" spans="5:8" ht="14.25" customHeight="1">
      <c r="E356" s="71"/>
      <c r="F356" s="206"/>
      <c r="G356" s="206"/>
      <c r="H356" s="206"/>
    </row>
    <row r="357" spans="5:8" ht="14.25" customHeight="1">
      <c r="E357" s="71"/>
      <c r="F357" s="206"/>
      <c r="G357" s="206"/>
      <c r="H357" s="206"/>
    </row>
    <row r="358" spans="5:8" ht="14.25" customHeight="1">
      <c r="E358" s="71"/>
      <c r="F358" s="206"/>
      <c r="G358" s="206"/>
      <c r="H358" s="206"/>
    </row>
    <row r="359" spans="5:8" ht="14.25" customHeight="1">
      <c r="E359" s="71"/>
      <c r="F359" s="206"/>
      <c r="G359" s="206"/>
      <c r="H359" s="206"/>
    </row>
    <row r="360" spans="5:8" ht="14.25" customHeight="1">
      <c r="E360" s="71"/>
      <c r="F360" s="206"/>
      <c r="G360" s="206"/>
      <c r="H360" s="206"/>
    </row>
    <row r="361" spans="5:8" ht="14.25" customHeight="1">
      <c r="E361" s="71"/>
      <c r="F361" s="206"/>
      <c r="G361" s="206"/>
      <c r="H361" s="206"/>
    </row>
    <row r="362" spans="5:8" ht="14.25" customHeight="1">
      <c r="E362" s="71"/>
      <c r="F362" s="206"/>
      <c r="G362" s="206"/>
      <c r="H362" s="206"/>
    </row>
    <row r="363" spans="5:8" ht="14.25" customHeight="1">
      <c r="E363" s="71"/>
      <c r="F363" s="206"/>
      <c r="G363" s="206"/>
      <c r="H363" s="206"/>
    </row>
    <row r="364" spans="5:8" ht="14.25" customHeight="1">
      <c r="E364" s="71"/>
      <c r="F364" s="206"/>
      <c r="G364" s="206"/>
      <c r="H364" s="206"/>
    </row>
    <row r="365" spans="5:8" ht="14.25" customHeight="1">
      <c r="E365" s="71"/>
      <c r="F365" s="206"/>
      <c r="G365" s="206"/>
      <c r="H365" s="206"/>
    </row>
    <row r="366" spans="5:8" ht="14.25" customHeight="1">
      <c r="E366" s="71"/>
      <c r="F366" s="206"/>
      <c r="G366" s="206"/>
      <c r="H366" s="206"/>
    </row>
    <row r="367" spans="5:8" ht="14.25" customHeight="1">
      <c r="E367" s="71"/>
      <c r="F367" s="206"/>
      <c r="G367" s="206"/>
      <c r="H367" s="206"/>
    </row>
    <row r="368" spans="5:8" ht="14.25" customHeight="1">
      <c r="E368" s="71"/>
      <c r="F368" s="206"/>
      <c r="G368" s="206"/>
      <c r="H368" s="206"/>
    </row>
    <row r="369" spans="5:8" ht="14.25" customHeight="1">
      <c r="E369" s="71"/>
      <c r="F369" s="206"/>
      <c r="G369" s="206"/>
      <c r="H369" s="206"/>
    </row>
    <row r="370" spans="5:8" ht="14.25" customHeight="1">
      <c r="E370" s="71"/>
      <c r="F370" s="206"/>
      <c r="G370" s="206"/>
      <c r="H370" s="206"/>
    </row>
    <row r="371" spans="5:8" ht="14.25" customHeight="1">
      <c r="E371" s="71"/>
      <c r="F371" s="206"/>
      <c r="G371" s="206"/>
      <c r="H371" s="206"/>
    </row>
    <row r="372" spans="5:8" ht="14.25" customHeight="1">
      <c r="E372" s="71"/>
      <c r="F372" s="206"/>
      <c r="G372" s="206"/>
      <c r="H372" s="206"/>
    </row>
    <row r="373" spans="5:8" ht="14.25" customHeight="1">
      <c r="E373" s="71"/>
      <c r="F373" s="206"/>
      <c r="G373" s="206"/>
      <c r="H373" s="206"/>
    </row>
    <row r="374" spans="5:8" ht="14.25" customHeight="1">
      <c r="E374" s="71"/>
      <c r="F374" s="206"/>
      <c r="G374" s="206"/>
      <c r="H374" s="206"/>
    </row>
    <row r="375" spans="5:8" ht="14.25" customHeight="1">
      <c r="E375" s="71"/>
      <c r="F375" s="206"/>
      <c r="G375" s="206"/>
      <c r="H375" s="206"/>
    </row>
    <row r="376" spans="5:8" ht="14.25" customHeight="1">
      <c r="E376" s="71"/>
      <c r="F376" s="206"/>
      <c r="G376" s="206"/>
      <c r="H376" s="206"/>
    </row>
    <row r="377" spans="5:8" ht="14.25" customHeight="1">
      <c r="E377" s="71"/>
      <c r="F377" s="206"/>
      <c r="G377" s="206"/>
      <c r="H377" s="206"/>
    </row>
    <row r="378" spans="5:8" ht="14.25" customHeight="1">
      <c r="E378" s="71"/>
      <c r="F378" s="206"/>
      <c r="G378" s="206"/>
      <c r="H378" s="206"/>
    </row>
    <row r="379" spans="5:8" ht="14.25" customHeight="1">
      <c r="E379" s="71"/>
      <c r="F379" s="206"/>
      <c r="G379" s="206"/>
      <c r="H379" s="206"/>
    </row>
    <row r="380" spans="5:8" ht="14.25" customHeight="1">
      <c r="E380" s="71"/>
      <c r="F380" s="206"/>
      <c r="G380" s="206"/>
      <c r="H380" s="206"/>
    </row>
    <row r="381" spans="5:8" ht="14.25" customHeight="1">
      <c r="E381" s="71"/>
      <c r="F381" s="206"/>
      <c r="G381" s="206"/>
      <c r="H381" s="206"/>
    </row>
    <row r="382" spans="5:8" ht="14.25" customHeight="1">
      <c r="E382" s="71"/>
      <c r="F382" s="206"/>
      <c r="G382" s="206"/>
      <c r="H382" s="206"/>
    </row>
    <row r="383" spans="5:8" ht="14.25" customHeight="1">
      <c r="E383" s="71"/>
      <c r="F383" s="206"/>
      <c r="G383" s="206"/>
      <c r="H383" s="206"/>
    </row>
    <row r="384" spans="5:8" ht="14.25" customHeight="1">
      <c r="E384" s="71"/>
      <c r="F384" s="206"/>
      <c r="G384" s="206"/>
      <c r="H384" s="206"/>
    </row>
    <row r="385" spans="5:8" ht="14.25" customHeight="1">
      <c r="E385" s="71"/>
      <c r="F385" s="206"/>
      <c r="G385" s="206"/>
      <c r="H385" s="206"/>
    </row>
    <row r="386" spans="5:8" ht="14.25" customHeight="1">
      <c r="E386" s="71"/>
      <c r="F386" s="206"/>
      <c r="G386" s="206"/>
      <c r="H386" s="206"/>
    </row>
    <row r="387" spans="5:8" ht="14.25" customHeight="1">
      <c r="E387" s="71"/>
      <c r="F387" s="206"/>
      <c r="G387" s="206"/>
      <c r="H387" s="206"/>
    </row>
    <row r="388" spans="5:8" ht="14.25" customHeight="1">
      <c r="E388" s="71"/>
      <c r="F388" s="206"/>
      <c r="G388" s="206"/>
      <c r="H388" s="206"/>
    </row>
    <row r="389" spans="5:8" ht="14.25" customHeight="1">
      <c r="E389" s="71"/>
      <c r="F389" s="206"/>
      <c r="G389" s="206"/>
      <c r="H389" s="206"/>
    </row>
    <row r="390" spans="5:8" ht="14.25" customHeight="1">
      <c r="E390" s="71"/>
      <c r="F390" s="206"/>
      <c r="G390" s="206"/>
      <c r="H390" s="206"/>
    </row>
    <row r="391" spans="5:8" ht="14.25" customHeight="1">
      <c r="E391" s="71"/>
      <c r="F391" s="206"/>
      <c r="G391" s="206"/>
      <c r="H391" s="206"/>
    </row>
    <row r="392" spans="5:8" ht="14.25" customHeight="1">
      <c r="E392" s="71"/>
      <c r="F392" s="206"/>
      <c r="G392" s="206"/>
      <c r="H392" s="206"/>
    </row>
    <row r="393" spans="5:8" ht="14.25" customHeight="1">
      <c r="E393" s="71"/>
      <c r="F393" s="206"/>
      <c r="G393" s="206"/>
      <c r="H393" s="206"/>
    </row>
    <row r="394" spans="5:8" ht="14.25" customHeight="1">
      <c r="E394" s="71"/>
      <c r="F394" s="206"/>
      <c r="G394" s="206"/>
      <c r="H394" s="206"/>
    </row>
    <row r="395" spans="5:8" ht="14.25" customHeight="1">
      <c r="E395" s="71"/>
      <c r="F395" s="206"/>
      <c r="G395" s="206"/>
      <c r="H395" s="206"/>
    </row>
    <row r="396" spans="5:8" ht="14.25" customHeight="1">
      <c r="E396" s="71"/>
      <c r="F396" s="206"/>
      <c r="G396" s="206"/>
      <c r="H396" s="206"/>
    </row>
    <row r="397" spans="5:8" ht="14.25" customHeight="1">
      <c r="E397" s="71"/>
      <c r="F397" s="206"/>
      <c r="G397" s="206"/>
      <c r="H397" s="206"/>
    </row>
    <row r="398" spans="5:8" ht="14.25" customHeight="1">
      <c r="E398" s="71"/>
      <c r="F398" s="206"/>
      <c r="G398" s="206"/>
      <c r="H398" s="206"/>
    </row>
    <row r="399" spans="5:8" ht="14.25" customHeight="1">
      <c r="E399" s="71"/>
      <c r="F399" s="206"/>
      <c r="G399" s="206"/>
      <c r="H399" s="206"/>
    </row>
    <row r="400" spans="5:8" ht="14.25" customHeight="1">
      <c r="E400" s="71"/>
      <c r="F400" s="206"/>
      <c r="G400" s="206"/>
      <c r="H400" s="206"/>
    </row>
    <row r="401" spans="5:8" ht="14.25" customHeight="1">
      <c r="E401" s="71"/>
      <c r="F401" s="206"/>
      <c r="G401" s="206"/>
      <c r="H401" s="206"/>
    </row>
    <row r="402" spans="5:8" ht="14.25" customHeight="1">
      <c r="E402" s="71"/>
      <c r="F402" s="206"/>
      <c r="G402" s="206"/>
      <c r="H402" s="206"/>
    </row>
    <row r="403" spans="5:8" ht="14.25" customHeight="1">
      <c r="E403" s="71"/>
      <c r="F403" s="206"/>
      <c r="G403" s="206"/>
      <c r="H403" s="206"/>
    </row>
    <row r="404" spans="5:8" ht="14.25" customHeight="1">
      <c r="E404" s="71"/>
      <c r="F404" s="206"/>
      <c r="G404" s="206"/>
      <c r="H404" s="206"/>
    </row>
    <row r="405" spans="5:8" ht="14.25" customHeight="1">
      <c r="E405" s="71"/>
      <c r="F405" s="206"/>
      <c r="G405" s="206"/>
      <c r="H405" s="206"/>
    </row>
    <row r="406" spans="5:8" ht="14.25" customHeight="1">
      <c r="E406" s="71"/>
      <c r="F406" s="206"/>
      <c r="G406" s="206"/>
      <c r="H406" s="206"/>
    </row>
    <row r="407" spans="5:8" ht="14.25" customHeight="1">
      <c r="E407" s="71"/>
      <c r="F407" s="206"/>
      <c r="G407" s="206"/>
      <c r="H407" s="206"/>
    </row>
    <row r="408" spans="5:8" ht="14.25" customHeight="1">
      <c r="E408" s="71"/>
      <c r="F408" s="206"/>
      <c r="G408" s="206"/>
      <c r="H408" s="206"/>
    </row>
    <row r="409" spans="5:8" ht="14.25" customHeight="1">
      <c r="E409" s="71"/>
      <c r="F409" s="206"/>
      <c r="G409" s="206"/>
      <c r="H409" s="206"/>
    </row>
    <row r="410" spans="5:8" ht="14.25" customHeight="1">
      <c r="E410" s="71"/>
      <c r="F410" s="206"/>
      <c r="G410" s="206"/>
      <c r="H410" s="206"/>
    </row>
    <row r="411" spans="5:8" ht="14.25" customHeight="1">
      <c r="E411" s="71"/>
      <c r="F411" s="206"/>
      <c r="G411" s="206"/>
      <c r="H411" s="206"/>
    </row>
    <row r="412" spans="5:8" ht="14.25" customHeight="1">
      <c r="E412" s="71"/>
      <c r="F412" s="206"/>
      <c r="G412" s="206"/>
      <c r="H412" s="206"/>
    </row>
    <row r="413" spans="5:8" ht="14.25" customHeight="1">
      <c r="E413" s="71"/>
      <c r="F413" s="206"/>
      <c r="G413" s="206"/>
      <c r="H413" s="206"/>
    </row>
    <row r="414" spans="5:8" ht="14.25" customHeight="1">
      <c r="E414" s="71"/>
      <c r="F414" s="206"/>
      <c r="G414" s="206"/>
      <c r="H414" s="206"/>
    </row>
    <row r="415" spans="5:8" ht="14.25" customHeight="1">
      <c r="E415" s="71"/>
      <c r="F415" s="206"/>
      <c r="G415" s="206"/>
      <c r="H415" s="206"/>
    </row>
    <row r="416" spans="5:8" ht="14.25" customHeight="1">
      <c r="E416" s="71"/>
      <c r="F416" s="206"/>
      <c r="G416" s="206"/>
      <c r="H416" s="206"/>
    </row>
    <row r="417" spans="5:8" ht="14.25" customHeight="1">
      <c r="E417" s="71"/>
      <c r="F417" s="206"/>
      <c r="G417" s="206"/>
      <c r="H417" s="206"/>
    </row>
    <row r="418" spans="5:8" ht="14.25" customHeight="1">
      <c r="E418" s="71"/>
      <c r="F418" s="206"/>
      <c r="G418" s="206"/>
      <c r="H418" s="206"/>
    </row>
    <row r="419" spans="5:8" ht="14.25" customHeight="1">
      <c r="E419" s="71"/>
      <c r="F419" s="206"/>
      <c r="G419" s="206"/>
      <c r="H419" s="206"/>
    </row>
    <row r="420" spans="5:8" ht="14.25" customHeight="1">
      <c r="E420" s="71"/>
      <c r="F420" s="206"/>
      <c r="G420" s="206"/>
      <c r="H420" s="206"/>
    </row>
    <row r="421" spans="5:8" ht="14.25" customHeight="1">
      <c r="E421" s="71"/>
      <c r="F421" s="206"/>
      <c r="G421" s="206"/>
      <c r="H421" s="206"/>
    </row>
    <row r="422" spans="5:8" ht="14.25" customHeight="1">
      <c r="E422" s="71"/>
      <c r="F422" s="206"/>
      <c r="G422" s="206"/>
      <c r="H422" s="206"/>
    </row>
    <row r="423" spans="5:8" ht="14.25" customHeight="1">
      <c r="E423" s="71"/>
      <c r="F423" s="206"/>
      <c r="G423" s="206"/>
      <c r="H423" s="206"/>
    </row>
    <row r="424" spans="5:8" ht="14.25" customHeight="1">
      <c r="E424" s="71"/>
      <c r="F424" s="206"/>
      <c r="G424" s="206"/>
      <c r="H424" s="206"/>
    </row>
    <row r="425" spans="5:8" ht="14.25" customHeight="1">
      <c r="E425" s="71"/>
      <c r="F425" s="206"/>
      <c r="G425" s="206"/>
      <c r="H425" s="206"/>
    </row>
    <row r="426" spans="5:8" ht="14.25" customHeight="1">
      <c r="E426" s="71"/>
      <c r="F426" s="206"/>
      <c r="G426" s="206"/>
      <c r="H426" s="206"/>
    </row>
    <row r="427" spans="5:8" ht="14.25" customHeight="1">
      <c r="E427" s="71"/>
      <c r="F427" s="206"/>
      <c r="G427" s="206"/>
      <c r="H427" s="206"/>
    </row>
    <row r="428" spans="5:8" ht="14.25" customHeight="1">
      <c r="E428" s="71"/>
      <c r="F428" s="206"/>
      <c r="G428" s="206"/>
      <c r="H428" s="206"/>
    </row>
    <row r="429" spans="5:8" ht="14.25" customHeight="1">
      <c r="E429" s="71"/>
      <c r="F429" s="206"/>
      <c r="G429" s="206"/>
      <c r="H429" s="206"/>
    </row>
    <row r="430" spans="5:8" ht="14.25" customHeight="1">
      <c r="E430" s="71"/>
      <c r="F430" s="206"/>
      <c r="G430" s="206"/>
      <c r="H430" s="206"/>
    </row>
    <row r="431" spans="5:8" ht="14.25" customHeight="1">
      <c r="E431" s="71"/>
      <c r="F431" s="206"/>
      <c r="G431" s="206"/>
      <c r="H431" s="206"/>
    </row>
    <row r="432" spans="5:8" ht="14.25" customHeight="1">
      <c r="E432" s="71"/>
      <c r="F432" s="206"/>
      <c r="G432" s="206"/>
      <c r="H432" s="206"/>
    </row>
    <row r="433" spans="5:8" ht="14.25" customHeight="1">
      <c r="E433" s="71"/>
      <c r="F433" s="206"/>
      <c r="G433" s="206"/>
      <c r="H433" s="206"/>
    </row>
    <row r="434" spans="5:8" ht="14.25" customHeight="1">
      <c r="E434" s="71"/>
      <c r="F434" s="206"/>
      <c r="G434" s="206"/>
      <c r="H434" s="206"/>
    </row>
    <row r="435" spans="5:8" ht="14.25" customHeight="1">
      <c r="E435" s="71"/>
      <c r="F435" s="206"/>
      <c r="G435" s="206"/>
      <c r="H435" s="206"/>
    </row>
    <row r="436" spans="5:8" ht="14.25" customHeight="1">
      <c r="E436" s="71"/>
      <c r="F436" s="206"/>
      <c r="G436" s="206"/>
      <c r="H436" s="206"/>
    </row>
    <row r="437" spans="5:8" ht="14.25" customHeight="1">
      <c r="E437" s="71"/>
      <c r="F437" s="206"/>
      <c r="G437" s="206"/>
      <c r="H437" s="206"/>
    </row>
    <row r="438" spans="5:8" ht="14.25" customHeight="1">
      <c r="E438" s="71"/>
      <c r="F438" s="206"/>
      <c r="G438" s="206"/>
      <c r="H438" s="206"/>
    </row>
    <row r="439" spans="5:8" ht="14.25" customHeight="1">
      <c r="E439" s="71"/>
      <c r="F439" s="206"/>
      <c r="G439" s="206"/>
      <c r="H439" s="206"/>
    </row>
    <row r="440" spans="5:8" ht="14.25" customHeight="1">
      <c r="E440" s="71"/>
      <c r="F440" s="206"/>
      <c r="G440" s="206"/>
      <c r="H440" s="206"/>
    </row>
    <row r="441" spans="5:8" ht="14.25" customHeight="1">
      <c r="E441" s="71"/>
      <c r="F441" s="206"/>
      <c r="G441" s="206"/>
      <c r="H441" s="206"/>
    </row>
    <row r="442" spans="5:8" ht="14.25" customHeight="1">
      <c r="E442" s="71"/>
      <c r="F442" s="206"/>
      <c r="G442" s="206"/>
      <c r="H442" s="206"/>
    </row>
    <row r="443" spans="5:8" ht="14.25" customHeight="1">
      <c r="E443" s="71"/>
      <c r="F443" s="206"/>
      <c r="G443" s="206"/>
      <c r="H443" s="206"/>
    </row>
    <row r="444" spans="5:8" ht="14.25" customHeight="1">
      <c r="E444" s="71"/>
      <c r="F444" s="206"/>
      <c r="G444" s="206"/>
      <c r="H444" s="206"/>
    </row>
    <row r="445" spans="5:8" ht="14.25" customHeight="1">
      <c r="E445" s="71"/>
      <c r="F445" s="206"/>
      <c r="G445" s="206"/>
      <c r="H445" s="206"/>
    </row>
    <row r="446" spans="5:8" ht="14.25" customHeight="1">
      <c r="E446" s="71"/>
      <c r="F446" s="206"/>
      <c r="G446" s="206"/>
      <c r="H446" s="206"/>
    </row>
    <row r="447" spans="5:8" ht="14.25" customHeight="1">
      <c r="E447" s="71"/>
      <c r="F447" s="206"/>
      <c r="G447" s="206"/>
      <c r="H447" s="206"/>
    </row>
    <row r="448" spans="5:8" ht="14.25" customHeight="1">
      <c r="E448" s="71"/>
      <c r="F448" s="206"/>
      <c r="G448" s="206"/>
      <c r="H448" s="206"/>
    </row>
    <row r="449" spans="5:8" ht="14.25" customHeight="1">
      <c r="E449" s="71"/>
      <c r="F449" s="206"/>
      <c r="G449" s="206"/>
      <c r="H449" s="206"/>
    </row>
    <row r="450" spans="5:8" ht="14.25" customHeight="1">
      <c r="E450" s="71"/>
      <c r="F450" s="206"/>
      <c r="G450" s="206"/>
      <c r="H450" s="206"/>
    </row>
    <row r="451" spans="5:8" ht="14.25" customHeight="1">
      <c r="E451" s="71"/>
      <c r="F451" s="206"/>
      <c r="G451" s="206"/>
      <c r="H451" s="206"/>
    </row>
    <row r="452" spans="5:8" ht="14.25" customHeight="1">
      <c r="E452" s="71"/>
      <c r="F452" s="206"/>
      <c r="G452" s="206"/>
      <c r="H452" s="206"/>
    </row>
    <row r="453" spans="5:8" ht="14.25" customHeight="1">
      <c r="E453" s="71"/>
      <c r="F453" s="206"/>
      <c r="G453" s="206"/>
      <c r="H453" s="206"/>
    </row>
    <row r="454" spans="5:8" ht="14.25" customHeight="1">
      <c r="E454" s="71"/>
      <c r="F454" s="206"/>
      <c r="G454" s="206"/>
      <c r="H454" s="206"/>
    </row>
    <row r="455" spans="5:8" ht="14.25" customHeight="1">
      <c r="E455" s="71"/>
      <c r="F455" s="206"/>
      <c r="G455" s="206"/>
      <c r="H455" s="206"/>
    </row>
    <row r="456" spans="5:8" ht="14.25" customHeight="1">
      <c r="E456" s="71"/>
      <c r="F456" s="206"/>
      <c r="G456" s="206"/>
      <c r="H456" s="206"/>
    </row>
    <row r="457" spans="5:8" ht="14.25" customHeight="1">
      <c r="E457" s="71"/>
      <c r="F457" s="206"/>
      <c r="G457" s="206"/>
      <c r="H457" s="206"/>
    </row>
    <row r="458" spans="5:8" ht="14.25" customHeight="1">
      <c r="E458" s="71"/>
      <c r="F458" s="206"/>
      <c r="G458" s="206"/>
      <c r="H458" s="206"/>
    </row>
    <row r="459" spans="5:8" ht="14.25" customHeight="1">
      <c r="E459" s="71"/>
      <c r="F459" s="206"/>
      <c r="G459" s="206"/>
      <c r="H459" s="206"/>
    </row>
    <row r="460" spans="5:8" ht="14.25" customHeight="1">
      <c r="E460" s="71"/>
      <c r="F460" s="206"/>
      <c r="G460" s="206"/>
      <c r="H460" s="206"/>
    </row>
    <row r="461" spans="5:8" ht="14.25" customHeight="1">
      <c r="E461" s="71"/>
      <c r="F461" s="206"/>
      <c r="G461" s="206"/>
      <c r="H461" s="206"/>
    </row>
    <row r="462" spans="5:8" ht="14.25" customHeight="1">
      <c r="E462" s="71"/>
      <c r="F462" s="206"/>
      <c r="G462" s="206"/>
      <c r="H462" s="206"/>
    </row>
    <row r="463" spans="5:8" ht="14.25" customHeight="1">
      <c r="E463" s="71"/>
      <c r="F463" s="206"/>
      <c r="G463" s="206"/>
      <c r="H463" s="206"/>
    </row>
    <row r="464" spans="5:8" ht="14.25" customHeight="1">
      <c r="E464" s="71"/>
      <c r="F464" s="206"/>
      <c r="G464" s="206"/>
      <c r="H464" s="206"/>
    </row>
    <row r="465" spans="5:8" ht="14.25" customHeight="1">
      <c r="E465" s="71"/>
      <c r="F465" s="206"/>
      <c r="G465" s="206"/>
      <c r="H465" s="206"/>
    </row>
    <row r="466" spans="5:8" ht="14.25" customHeight="1">
      <c r="E466" s="71"/>
      <c r="F466" s="206"/>
      <c r="G466" s="206"/>
      <c r="H466" s="206"/>
    </row>
    <row r="467" spans="5:8" ht="14.25" customHeight="1">
      <c r="E467" s="71"/>
      <c r="F467" s="206"/>
      <c r="G467" s="206"/>
      <c r="H467" s="206"/>
    </row>
    <row r="468" spans="5:8" ht="14.25" customHeight="1">
      <c r="E468" s="71"/>
      <c r="F468" s="206"/>
      <c r="G468" s="206"/>
      <c r="H468" s="206"/>
    </row>
    <row r="469" spans="5:8" ht="14.25" customHeight="1">
      <c r="E469" s="71"/>
      <c r="F469" s="206"/>
      <c r="G469" s="206"/>
      <c r="H469" s="206"/>
    </row>
    <row r="470" spans="5:8" ht="14.25" customHeight="1">
      <c r="E470" s="71"/>
      <c r="F470" s="206"/>
      <c r="G470" s="206"/>
      <c r="H470" s="206"/>
    </row>
    <row r="471" spans="5:8" ht="14.25" customHeight="1">
      <c r="E471" s="71"/>
      <c r="F471" s="206"/>
      <c r="G471" s="206"/>
      <c r="H471" s="206"/>
    </row>
    <row r="472" spans="5:8" ht="14.25" customHeight="1">
      <c r="E472" s="71"/>
      <c r="F472" s="206"/>
      <c r="G472" s="206"/>
      <c r="H472" s="206"/>
    </row>
    <row r="473" spans="5:8" ht="14.25" customHeight="1">
      <c r="E473" s="71"/>
      <c r="F473" s="206"/>
      <c r="G473" s="206"/>
      <c r="H473" s="206"/>
    </row>
    <row r="474" spans="5:8" ht="14.25" customHeight="1">
      <c r="E474" s="71"/>
      <c r="F474" s="206"/>
      <c r="G474" s="206"/>
      <c r="H474" s="206"/>
    </row>
    <row r="475" spans="5:8" ht="14.25" customHeight="1">
      <c r="E475" s="71"/>
      <c r="F475" s="206"/>
      <c r="G475" s="206"/>
      <c r="H475" s="206"/>
    </row>
    <row r="476" spans="5:8" ht="14.25" customHeight="1">
      <c r="E476" s="71"/>
      <c r="F476" s="206"/>
      <c r="G476" s="206"/>
      <c r="H476" s="206"/>
    </row>
    <row r="477" spans="5:8" ht="14.25" customHeight="1">
      <c r="E477" s="71"/>
      <c r="F477" s="206"/>
      <c r="G477" s="206"/>
      <c r="H477" s="206"/>
    </row>
    <row r="478" spans="5:8" ht="14.25" customHeight="1">
      <c r="E478" s="71"/>
      <c r="F478" s="206"/>
      <c r="G478" s="206"/>
      <c r="H478" s="206"/>
    </row>
    <row r="479" spans="5:8" ht="14.25" customHeight="1">
      <c r="E479" s="71"/>
      <c r="F479" s="206"/>
      <c r="G479" s="206"/>
      <c r="H479" s="206"/>
    </row>
    <row r="480" spans="5:8" ht="14.25" customHeight="1">
      <c r="E480" s="71"/>
      <c r="F480" s="206"/>
      <c r="G480" s="206"/>
      <c r="H480" s="206"/>
    </row>
    <row r="481" spans="5:8" ht="14.25" customHeight="1">
      <c r="E481" s="71"/>
      <c r="F481" s="206"/>
      <c r="G481" s="206"/>
      <c r="H481" s="206"/>
    </row>
    <row r="482" spans="5:8" ht="14.25" customHeight="1">
      <c r="E482" s="71"/>
      <c r="F482" s="206"/>
      <c r="G482" s="206"/>
      <c r="H482" s="206"/>
    </row>
    <row r="483" spans="5:8" ht="14.25" customHeight="1">
      <c r="E483" s="71"/>
      <c r="F483" s="206"/>
      <c r="G483" s="206"/>
      <c r="H483" s="206"/>
    </row>
    <row r="484" spans="5:8" ht="14.25" customHeight="1">
      <c r="E484" s="71"/>
      <c r="F484" s="206"/>
      <c r="G484" s="206"/>
      <c r="H484" s="206"/>
    </row>
    <row r="485" spans="5:8" ht="14.25" customHeight="1">
      <c r="E485" s="71"/>
      <c r="F485" s="206"/>
      <c r="G485" s="206"/>
      <c r="H485" s="206"/>
    </row>
    <row r="486" spans="5:8" ht="14.25" customHeight="1">
      <c r="E486" s="71"/>
      <c r="F486" s="206"/>
      <c r="G486" s="206"/>
      <c r="H486" s="206"/>
    </row>
    <row r="487" spans="5:8" ht="14.25" customHeight="1">
      <c r="E487" s="71"/>
      <c r="F487" s="206"/>
      <c r="G487" s="206"/>
      <c r="H487" s="206"/>
    </row>
    <row r="488" spans="5:8" ht="14.25" customHeight="1">
      <c r="E488" s="71"/>
      <c r="F488" s="206"/>
      <c r="G488" s="206"/>
      <c r="H488" s="206"/>
    </row>
    <row r="489" spans="5:8" ht="14.25" customHeight="1">
      <c r="E489" s="71"/>
      <c r="F489" s="206"/>
      <c r="G489" s="206"/>
      <c r="H489" s="206"/>
    </row>
    <row r="490" spans="5:8" ht="14.25" customHeight="1">
      <c r="E490" s="71"/>
      <c r="F490" s="206"/>
      <c r="G490" s="206"/>
      <c r="H490" s="206"/>
    </row>
    <row r="491" spans="5:8" ht="14.25" customHeight="1">
      <c r="E491" s="71"/>
      <c r="F491" s="206"/>
      <c r="G491" s="206"/>
      <c r="H491" s="206"/>
    </row>
    <row r="492" spans="5:8" ht="14.25" customHeight="1">
      <c r="E492" s="71"/>
      <c r="F492" s="206"/>
      <c r="G492" s="206"/>
      <c r="H492" s="206"/>
    </row>
    <row r="493" spans="5:8" ht="14.25" customHeight="1">
      <c r="E493" s="71"/>
      <c r="F493" s="206"/>
      <c r="G493" s="206"/>
      <c r="H493" s="206"/>
    </row>
    <row r="494" spans="5:8" ht="14.25" customHeight="1">
      <c r="E494" s="71"/>
      <c r="F494" s="206"/>
      <c r="G494" s="206"/>
      <c r="H494" s="206"/>
    </row>
    <row r="495" spans="5:8" ht="14.25" customHeight="1">
      <c r="E495" s="71"/>
      <c r="F495" s="206"/>
      <c r="G495" s="206"/>
      <c r="H495" s="206"/>
    </row>
    <row r="496" spans="5:8" ht="14.25" customHeight="1">
      <c r="E496" s="71"/>
      <c r="F496" s="206"/>
      <c r="G496" s="206"/>
      <c r="H496" s="206"/>
    </row>
    <row r="497" spans="5:8" ht="14.25" customHeight="1">
      <c r="E497" s="71"/>
      <c r="F497" s="206"/>
      <c r="G497" s="206"/>
      <c r="H497" s="206"/>
    </row>
    <row r="498" spans="5:8" ht="14.25" customHeight="1">
      <c r="E498" s="71"/>
      <c r="F498" s="206"/>
      <c r="G498" s="206"/>
      <c r="H498" s="206"/>
    </row>
    <row r="499" spans="5:8" ht="14.25" customHeight="1">
      <c r="E499" s="71"/>
      <c r="F499" s="206"/>
      <c r="G499" s="206"/>
      <c r="H499" s="206"/>
    </row>
    <row r="500" spans="5:8" ht="14.25" customHeight="1">
      <c r="E500" s="71"/>
      <c r="F500" s="206"/>
      <c r="G500" s="206"/>
      <c r="H500" s="206"/>
    </row>
    <row r="501" spans="5:8" ht="14.25" customHeight="1">
      <c r="E501" s="71"/>
      <c r="F501" s="206"/>
      <c r="G501" s="206"/>
      <c r="H501" s="206"/>
    </row>
    <row r="502" spans="5:8" ht="14.25" customHeight="1">
      <c r="E502" s="71"/>
      <c r="F502" s="206"/>
      <c r="G502" s="206"/>
      <c r="H502" s="206"/>
    </row>
    <row r="503" spans="5:8" ht="14.25" customHeight="1">
      <c r="E503" s="71"/>
      <c r="F503" s="206"/>
      <c r="G503" s="206"/>
      <c r="H503" s="206"/>
    </row>
    <row r="504" spans="5:8" ht="14.25" customHeight="1">
      <c r="E504" s="71"/>
      <c r="F504" s="206"/>
      <c r="G504" s="206"/>
      <c r="H504" s="206"/>
    </row>
    <row r="505" spans="5:8" ht="14.25" customHeight="1">
      <c r="E505" s="71"/>
      <c r="F505" s="206"/>
      <c r="G505" s="206"/>
      <c r="H505" s="206"/>
    </row>
    <row r="506" spans="5:8" ht="14.25" customHeight="1">
      <c r="E506" s="71"/>
      <c r="F506" s="206"/>
      <c r="G506" s="206"/>
      <c r="H506" s="206"/>
    </row>
    <row r="507" spans="5:8" ht="14.25" customHeight="1">
      <c r="E507" s="71"/>
      <c r="F507" s="206"/>
      <c r="G507" s="206"/>
      <c r="H507" s="206"/>
    </row>
    <row r="508" spans="5:8" ht="14.25" customHeight="1">
      <c r="E508" s="71"/>
      <c r="F508" s="206"/>
      <c r="G508" s="206"/>
      <c r="H508" s="206"/>
    </row>
    <row r="509" spans="5:8" ht="14.25" customHeight="1">
      <c r="E509" s="71"/>
      <c r="F509" s="206"/>
      <c r="G509" s="206"/>
      <c r="H509" s="206"/>
    </row>
    <row r="510" spans="5:8" ht="14.25" customHeight="1">
      <c r="E510" s="71"/>
      <c r="F510" s="206"/>
      <c r="G510" s="206"/>
      <c r="H510" s="206"/>
    </row>
    <row r="511" spans="5:8" ht="14.25" customHeight="1">
      <c r="E511" s="71"/>
      <c r="F511" s="206"/>
      <c r="G511" s="206"/>
      <c r="H511" s="206"/>
    </row>
    <row r="512" spans="5:8" ht="14.25" customHeight="1">
      <c r="E512" s="71"/>
      <c r="F512" s="206"/>
      <c r="G512" s="206"/>
      <c r="H512" s="206"/>
    </row>
    <row r="513" spans="5:8" ht="14.25" customHeight="1">
      <c r="E513" s="71"/>
      <c r="F513" s="206"/>
      <c r="G513" s="206"/>
      <c r="H513" s="206"/>
    </row>
    <row r="514" spans="5:8" ht="14.25" customHeight="1">
      <c r="E514" s="71"/>
      <c r="F514" s="206"/>
      <c r="G514" s="206"/>
      <c r="H514" s="206"/>
    </row>
    <row r="515" spans="5:8" ht="14.25" customHeight="1">
      <c r="E515" s="71"/>
      <c r="F515" s="206"/>
      <c r="G515" s="206"/>
      <c r="H515" s="206"/>
    </row>
    <row r="516" spans="5:8" ht="14.25" customHeight="1">
      <c r="E516" s="71"/>
      <c r="F516" s="206"/>
      <c r="G516" s="206"/>
      <c r="H516" s="206"/>
    </row>
    <row r="517" spans="5:8" ht="14.25" customHeight="1">
      <c r="E517" s="71"/>
      <c r="F517" s="206"/>
      <c r="G517" s="206"/>
      <c r="H517" s="206"/>
    </row>
    <row r="518" spans="5:8" ht="14.25" customHeight="1">
      <c r="E518" s="71"/>
      <c r="F518" s="206"/>
      <c r="G518" s="206"/>
      <c r="H518" s="206"/>
    </row>
    <row r="519" spans="5:8" ht="14.25" customHeight="1">
      <c r="E519" s="71"/>
      <c r="F519" s="206"/>
      <c r="G519" s="206"/>
      <c r="H519" s="206"/>
    </row>
    <row r="520" spans="5:8" ht="14.25" customHeight="1">
      <c r="E520" s="71"/>
      <c r="F520" s="206"/>
      <c r="G520" s="206"/>
      <c r="H520" s="206"/>
    </row>
    <row r="521" spans="5:8" ht="14.25" customHeight="1">
      <c r="E521" s="71"/>
      <c r="F521" s="206"/>
      <c r="G521" s="206"/>
      <c r="H521" s="206"/>
    </row>
    <row r="522" spans="5:8" ht="14.25" customHeight="1">
      <c r="E522" s="71"/>
      <c r="F522" s="206"/>
      <c r="G522" s="206"/>
      <c r="H522" s="206"/>
    </row>
    <row r="523" spans="5:8" ht="14.25" customHeight="1">
      <c r="E523" s="71"/>
      <c r="F523" s="206"/>
      <c r="G523" s="206"/>
      <c r="H523" s="206"/>
    </row>
    <row r="524" spans="5:8" ht="14.25" customHeight="1">
      <c r="E524" s="71"/>
      <c r="F524" s="206"/>
      <c r="G524" s="206"/>
      <c r="H524" s="206"/>
    </row>
    <row r="525" spans="5:8" ht="14.25" customHeight="1">
      <c r="E525" s="71"/>
      <c r="F525" s="206"/>
      <c r="G525" s="206"/>
      <c r="H525" s="206"/>
    </row>
    <row r="526" spans="5:8" ht="14.25" customHeight="1">
      <c r="E526" s="71"/>
      <c r="F526" s="206"/>
      <c r="G526" s="206"/>
      <c r="H526" s="206"/>
    </row>
    <row r="527" spans="5:8" ht="14.25" customHeight="1">
      <c r="E527" s="71"/>
      <c r="F527" s="206"/>
      <c r="G527" s="206"/>
      <c r="H527" s="206"/>
    </row>
    <row r="528" spans="5:8" ht="14.25" customHeight="1">
      <c r="E528" s="71"/>
      <c r="F528" s="206"/>
      <c r="G528" s="206"/>
      <c r="H528" s="206"/>
    </row>
    <row r="529" spans="5:8" ht="14.25" customHeight="1">
      <c r="E529" s="71"/>
      <c r="F529" s="206"/>
      <c r="G529" s="206"/>
      <c r="H529" s="206"/>
    </row>
    <row r="530" spans="5:8" ht="14.25" customHeight="1">
      <c r="E530" s="71"/>
      <c r="F530" s="206"/>
      <c r="G530" s="206"/>
      <c r="H530" s="206"/>
    </row>
    <row r="531" spans="5:8" ht="14.25" customHeight="1">
      <c r="E531" s="71"/>
      <c r="F531" s="206"/>
      <c r="G531" s="206"/>
      <c r="H531" s="206"/>
    </row>
    <row r="532" spans="5:8" ht="14.25" customHeight="1">
      <c r="E532" s="71"/>
      <c r="F532" s="206"/>
      <c r="G532" s="206"/>
      <c r="H532" s="206"/>
    </row>
    <row r="533" spans="5:8" ht="14.25" customHeight="1">
      <c r="E533" s="71"/>
      <c r="F533" s="206"/>
      <c r="G533" s="206"/>
      <c r="H533" s="206"/>
    </row>
    <row r="534" spans="5:8" ht="14.25" customHeight="1">
      <c r="E534" s="71"/>
      <c r="F534" s="206"/>
      <c r="G534" s="206"/>
      <c r="H534" s="206"/>
    </row>
    <row r="535" spans="5:8" ht="14.25" customHeight="1">
      <c r="E535" s="71"/>
      <c r="F535" s="206"/>
      <c r="G535" s="206"/>
      <c r="H535" s="206"/>
    </row>
    <row r="536" spans="5:8" ht="14.25" customHeight="1">
      <c r="E536" s="71"/>
      <c r="F536" s="206"/>
      <c r="G536" s="206"/>
      <c r="H536" s="206"/>
    </row>
    <row r="537" spans="5:8" ht="14.25" customHeight="1">
      <c r="E537" s="71"/>
      <c r="F537" s="206"/>
      <c r="G537" s="206"/>
      <c r="H537" s="206"/>
    </row>
    <row r="538" spans="5:8" ht="14.25" customHeight="1">
      <c r="E538" s="71"/>
      <c r="F538" s="206"/>
      <c r="G538" s="206"/>
      <c r="H538" s="206"/>
    </row>
    <row r="539" spans="5:8" ht="14.25" customHeight="1">
      <c r="E539" s="71"/>
      <c r="F539" s="206"/>
      <c r="G539" s="206"/>
      <c r="H539" s="206"/>
    </row>
    <row r="540" spans="5:8" ht="14.25" customHeight="1">
      <c r="E540" s="71"/>
      <c r="F540" s="206"/>
      <c r="G540" s="206"/>
      <c r="H540" s="206"/>
    </row>
    <row r="541" spans="5:8" ht="14.25" customHeight="1">
      <c r="E541" s="71"/>
      <c r="F541" s="206"/>
      <c r="G541" s="206"/>
      <c r="H541" s="206"/>
    </row>
    <row r="542" spans="5:8" ht="14.25" customHeight="1">
      <c r="E542" s="71"/>
      <c r="F542" s="206"/>
      <c r="G542" s="206"/>
      <c r="H542" s="206"/>
    </row>
    <row r="543" spans="5:8" ht="14.25" customHeight="1">
      <c r="E543" s="71"/>
      <c r="F543" s="206"/>
      <c r="G543" s="206"/>
      <c r="H543" s="206"/>
    </row>
    <row r="544" spans="5:8" ht="14.25" customHeight="1">
      <c r="E544" s="71"/>
      <c r="F544" s="206"/>
      <c r="G544" s="206"/>
      <c r="H544" s="206"/>
    </row>
    <row r="545" spans="5:8" ht="14.25" customHeight="1">
      <c r="E545" s="71"/>
      <c r="F545" s="206"/>
      <c r="G545" s="206"/>
      <c r="H545" s="206"/>
    </row>
    <row r="546" spans="5:8" ht="14.25" customHeight="1">
      <c r="E546" s="71"/>
      <c r="F546" s="206"/>
      <c r="G546" s="206"/>
      <c r="H546" s="206"/>
    </row>
    <row r="547" spans="5:8" ht="14.25" customHeight="1">
      <c r="E547" s="71"/>
      <c r="F547" s="206"/>
      <c r="G547" s="206"/>
      <c r="H547" s="206"/>
    </row>
    <row r="548" spans="5:8" ht="14.25" customHeight="1">
      <c r="E548" s="71"/>
      <c r="F548" s="206"/>
      <c r="G548" s="206"/>
      <c r="H548" s="206"/>
    </row>
    <row r="549" spans="5:8" ht="14.25" customHeight="1">
      <c r="E549" s="71"/>
      <c r="F549" s="206"/>
      <c r="G549" s="206"/>
      <c r="H549" s="206"/>
    </row>
    <row r="550" spans="5:8" ht="14.25" customHeight="1">
      <c r="E550" s="71"/>
      <c r="F550" s="206"/>
      <c r="G550" s="206"/>
      <c r="H550" s="206"/>
    </row>
    <row r="551" spans="5:8" ht="14.25" customHeight="1">
      <c r="E551" s="71"/>
      <c r="F551" s="206"/>
      <c r="G551" s="206"/>
      <c r="H551" s="206"/>
    </row>
    <row r="552" spans="5:8" ht="14.25" customHeight="1">
      <c r="E552" s="71"/>
      <c r="F552" s="206"/>
      <c r="G552" s="206"/>
      <c r="H552" s="206"/>
    </row>
    <row r="553" spans="5:8" ht="14.25" customHeight="1">
      <c r="E553" s="71"/>
      <c r="F553" s="206"/>
      <c r="G553" s="206"/>
      <c r="H553" s="206"/>
    </row>
    <row r="554" spans="5:8" ht="14.25" customHeight="1">
      <c r="E554" s="71"/>
      <c r="F554" s="206"/>
      <c r="G554" s="206"/>
      <c r="H554" s="206"/>
    </row>
    <row r="555" spans="5:8" ht="14.25" customHeight="1">
      <c r="E555" s="71"/>
      <c r="F555" s="206"/>
      <c r="G555" s="206"/>
      <c r="H555" s="206"/>
    </row>
    <row r="556" spans="5:8" ht="14.25" customHeight="1">
      <c r="E556" s="71"/>
      <c r="F556" s="206"/>
      <c r="G556" s="206"/>
      <c r="H556" s="206"/>
    </row>
    <row r="557" spans="5:8" ht="14.25" customHeight="1">
      <c r="E557" s="71"/>
      <c r="F557" s="206"/>
      <c r="G557" s="206"/>
      <c r="H557" s="206"/>
    </row>
    <row r="558" spans="5:8" ht="14.25" customHeight="1">
      <c r="E558" s="71"/>
      <c r="F558" s="206"/>
      <c r="G558" s="206"/>
      <c r="H558" s="206"/>
    </row>
    <row r="559" spans="5:8" ht="14.25" customHeight="1">
      <c r="E559" s="71"/>
      <c r="F559" s="206"/>
      <c r="G559" s="206"/>
      <c r="H559" s="206"/>
    </row>
    <row r="560" spans="5:8" ht="14.25" customHeight="1">
      <c r="E560" s="71"/>
      <c r="F560" s="206"/>
      <c r="G560" s="206"/>
      <c r="H560" s="206"/>
    </row>
    <row r="561" spans="5:8" ht="14.25" customHeight="1">
      <c r="E561" s="71"/>
      <c r="F561" s="206"/>
      <c r="G561" s="206"/>
      <c r="H561" s="206"/>
    </row>
    <row r="562" spans="5:8" ht="14.25" customHeight="1">
      <c r="E562" s="71"/>
      <c r="F562" s="206"/>
      <c r="G562" s="206"/>
      <c r="H562" s="206"/>
    </row>
    <row r="563" spans="5:8" ht="14.25" customHeight="1">
      <c r="E563" s="71"/>
      <c r="F563" s="206"/>
      <c r="G563" s="206"/>
      <c r="H563" s="206"/>
    </row>
    <row r="564" spans="5:8" ht="14.25" customHeight="1">
      <c r="E564" s="71"/>
      <c r="F564" s="206"/>
      <c r="G564" s="206"/>
      <c r="H564" s="206"/>
    </row>
    <row r="565" spans="5:8" ht="14.25" customHeight="1">
      <c r="E565" s="71"/>
      <c r="F565" s="206"/>
      <c r="G565" s="206"/>
      <c r="H565" s="206"/>
    </row>
    <row r="566" spans="5:8" ht="14.25" customHeight="1">
      <c r="E566" s="71"/>
      <c r="F566" s="206"/>
      <c r="G566" s="206"/>
      <c r="H566" s="206"/>
    </row>
    <row r="567" spans="5:8" ht="14.25" customHeight="1">
      <c r="E567" s="71"/>
      <c r="F567" s="206"/>
      <c r="G567" s="206"/>
      <c r="H567" s="206"/>
    </row>
    <row r="568" spans="5:8" ht="14.25" customHeight="1">
      <c r="E568" s="71"/>
      <c r="F568" s="206"/>
      <c r="G568" s="206"/>
      <c r="H568" s="206"/>
    </row>
    <row r="569" spans="5:8" ht="14.25" customHeight="1">
      <c r="E569" s="71"/>
      <c r="F569" s="206"/>
      <c r="G569" s="206"/>
      <c r="H569" s="206"/>
    </row>
    <row r="570" spans="5:8" ht="14.25" customHeight="1">
      <c r="E570" s="71"/>
      <c r="F570" s="206"/>
      <c r="G570" s="206"/>
      <c r="H570" s="206"/>
    </row>
    <row r="571" spans="5:8" ht="14.25" customHeight="1">
      <c r="E571" s="71"/>
      <c r="F571" s="206"/>
      <c r="G571" s="206"/>
      <c r="H571" s="206"/>
    </row>
    <row r="572" spans="5:8" ht="14.25" customHeight="1">
      <c r="E572" s="71"/>
      <c r="F572" s="206"/>
      <c r="G572" s="206"/>
      <c r="H572" s="206"/>
    </row>
    <row r="573" spans="5:8" ht="14.25" customHeight="1">
      <c r="E573" s="71"/>
      <c r="F573" s="206"/>
      <c r="G573" s="206"/>
      <c r="H573" s="206"/>
    </row>
    <row r="574" spans="5:8" ht="14.25" customHeight="1">
      <c r="E574" s="71"/>
      <c r="F574" s="206"/>
      <c r="G574" s="206"/>
      <c r="H574" s="206"/>
    </row>
    <row r="575" spans="5:8" ht="14.25" customHeight="1">
      <c r="E575" s="71"/>
      <c r="F575" s="206"/>
      <c r="G575" s="206"/>
      <c r="H575" s="206"/>
    </row>
    <row r="576" spans="5:8" ht="14.25" customHeight="1">
      <c r="E576" s="71"/>
      <c r="F576" s="206"/>
      <c r="G576" s="206"/>
      <c r="H576" s="206"/>
    </row>
    <row r="577" spans="5:8" ht="14.25" customHeight="1">
      <c r="E577" s="71"/>
      <c r="F577" s="206"/>
      <c r="G577" s="206"/>
      <c r="H577" s="206"/>
    </row>
    <row r="578" spans="5:8" ht="14.25" customHeight="1">
      <c r="E578" s="71"/>
      <c r="F578" s="206"/>
      <c r="G578" s="206"/>
      <c r="H578" s="206"/>
    </row>
    <row r="579" spans="5:8" ht="14.25" customHeight="1">
      <c r="E579" s="71"/>
      <c r="F579" s="206"/>
      <c r="G579" s="206"/>
      <c r="H579" s="206"/>
    </row>
    <row r="580" spans="5:8" ht="14.25" customHeight="1">
      <c r="E580" s="71"/>
      <c r="F580" s="206"/>
      <c r="G580" s="206"/>
      <c r="H580" s="206"/>
    </row>
    <row r="581" spans="5:8" ht="14.25" customHeight="1">
      <c r="E581" s="71"/>
      <c r="F581" s="206"/>
      <c r="G581" s="206"/>
      <c r="H581" s="206"/>
    </row>
    <row r="582" spans="5:8" ht="14.25" customHeight="1">
      <c r="E582" s="71"/>
      <c r="F582" s="206"/>
      <c r="G582" s="206"/>
      <c r="H582" s="206"/>
    </row>
    <row r="583" spans="5:8" ht="14.25" customHeight="1">
      <c r="E583" s="71"/>
      <c r="F583" s="206"/>
      <c r="G583" s="206"/>
      <c r="H583" s="206"/>
    </row>
    <row r="584" spans="5:8" ht="14.25" customHeight="1">
      <c r="E584" s="71"/>
      <c r="F584" s="206"/>
      <c r="G584" s="206"/>
      <c r="H584" s="206"/>
    </row>
    <row r="585" spans="5:8" ht="14.25" customHeight="1">
      <c r="E585" s="71"/>
      <c r="F585" s="206"/>
      <c r="G585" s="206"/>
      <c r="H585" s="206"/>
    </row>
    <row r="586" spans="5:8" ht="14.25" customHeight="1">
      <c r="E586" s="71"/>
      <c r="F586" s="206"/>
      <c r="G586" s="206"/>
      <c r="H586" s="206"/>
    </row>
    <row r="587" spans="5:8" ht="14.25" customHeight="1">
      <c r="E587" s="71"/>
      <c r="F587" s="206"/>
      <c r="G587" s="206"/>
      <c r="H587" s="206"/>
    </row>
    <row r="588" spans="5:8" ht="14.25" customHeight="1">
      <c r="E588" s="71"/>
      <c r="F588" s="206"/>
      <c r="G588" s="206"/>
      <c r="H588" s="206"/>
    </row>
    <row r="589" spans="5:8" ht="14.25" customHeight="1">
      <c r="E589" s="71"/>
      <c r="F589" s="206"/>
      <c r="G589" s="206"/>
      <c r="H589" s="206"/>
    </row>
    <row r="590" spans="5:8" ht="14.25" customHeight="1">
      <c r="E590" s="71"/>
      <c r="F590" s="206"/>
      <c r="G590" s="206"/>
      <c r="H590" s="206"/>
    </row>
    <row r="591" spans="5:8" ht="14.25" customHeight="1">
      <c r="E591" s="71"/>
      <c r="F591" s="206"/>
      <c r="G591" s="206"/>
      <c r="H591" s="206"/>
    </row>
    <row r="592" spans="5:8" ht="14.25" customHeight="1">
      <c r="E592" s="71"/>
      <c r="F592" s="206"/>
      <c r="G592" s="206"/>
      <c r="H592" s="206"/>
    </row>
    <row r="593" spans="5:8" ht="14.25" customHeight="1">
      <c r="E593" s="71"/>
      <c r="F593" s="206"/>
      <c r="G593" s="206"/>
      <c r="H593" s="206"/>
    </row>
    <row r="594" spans="5:8" ht="14.25" customHeight="1">
      <c r="E594" s="71"/>
      <c r="F594" s="206"/>
      <c r="G594" s="206"/>
      <c r="H594" s="206"/>
    </row>
    <row r="595" spans="5:8" ht="14.25" customHeight="1">
      <c r="E595" s="71"/>
      <c r="F595" s="206"/>
      <c r="G595" s="206"/>
      <c r="H595" s="206"/>
    </row>
    <row r="596" spans="5:8" ht="14.25" customHeight="1">
      <c r="E596" s="71"/>
      <c r="F596" s="206"/>
      <c r="G596" s="206"/>
      <c r="H596" s="206"/>
    </row>
    <row r="597" spans="5:8" ht="14.25" customHeight="1">
      <c r="E597" s="71"/>
      <c r="F597" s="206"/>
      <c r="G597" s="206"/>
      <c r="H597" s="206"/>
    </row>
    <row r="598" spans="5:8" ht="14.25" customHeight="1">
      <c r="E598" s="71"/>
      <c r="F598" s="206"/>
      <c r="G598" s="206"/>
      <c r="H598" s="206"/>
    </row>
    <row r="599" spans="5:8" ht="14.25" customHeight="1">
      <c r="E599" s="71"/>
      <c r="F599" s="206"/>
      <c r="G599" s="206"/>
      <c r="H599" s="206"/>
    </row>
    <row r="600" spans="5:8" ht="14.25" customHeight="1">
      <c r="E600" s="71"/>
      <c r="F600" s="206"/>
      <c r="G600" s="206"/>
      <c r="H600" s="206"/>
    </row>
    <row r="601" spans="5:8" ht="14.25" customHeight="1">
      <c r="E601" s="71"/>
      <c r="F601" s="206"/>
      <c r="G601" s="206"/>
      <c r="H601" s="206"/>
    </row>
    <row r="602" spans="5:8" ht="14.25" customHeight="1">
      <c r="E602" s="71"/>
      <c r="F602" s="206"/>
      <c r="G602" s="206"/>
      <c r="H602" s="206"/>
    </row>
    <row r="603" spans="5:8" ht="14.25" customHeight="1">
      <c r="E603" s="71"/>
      <c r="F603" s="206"/>
      <c r="G603" s="206"/>
      <c r="H603" s="206"/>
    </row>
    <row r="604" spans="5:8" ht="14.25" customHeight="1">
      <c r="E604" s="71"/>
      <c r="F604" s="206"/>
      <c r="G604" s="206"/>
      <c r="H604" s="206"/>
    </row>
    <row r="605" spans="5:8" ht="14.25" customHeight="1">
      <c r="E605" s="71"/>
      <c r="F605" s="206"/>
      <c r="G605" s="206"/>
      <c r="H605" s="206"/>
    </row>
    <row r="606" spans="5:8" ht="14.25" customHeight="1">
      <c r="E606" s="71"/>
      <c r="F606" s="206"/>
      <c r="G606" s="206"/>
      <c r="H606" s="206"/>
    </row>
    <row r="607" spans="5:8" ht="14.25" customHeight="1">
      <c r="E607" s="71"/>
      <c r="F607" s="206"/>
      <c r="G607" s="206"/>
      <c r="H607" s="206"/>
    </row>
    <row r="608" spans="5:8" ht="14.25" customHeight="1">
      <c r="E608" s="71"/>
      <c r="F608" s="206"/>
      <c r="G608" s="206"/>
      <c r="H608" s="206"/>
    </row>
    <row r="609" spans="5:8" ht="14.25" customHeight="1">
      <c r="E609" s="71"/>
      <c r="F609" s="206"/>
      <c r="G609" s="206"/>
      <c r="H609" s="206"/>
    </row>
    <row r="610" spans="5:8" ht="14.25" customHeight="1">
      <c r="E610" s="71"/>
      <c r="F610" s="206"/>
      <c r="G610" s="206"/>
      <c r="H610" s="206"/>
    </row>
    <row r="611" spans="5:8" ht="14.25" customHeight="1">
      <c r="E611" s="71"/>
      <c r="F611" s="206"/>
      <c r="G611" s="206"/>
      <c r="H611" s="206"/>
    </row>
    <row r="612" spans="5:8" ht="14.25" customHeight="1">
      <c r="E612" s="71"/>
      <c r="F612" s="206"/>
      <c r="G612" s="206"/>
      <c r="H612" s="206"/>
    </row>
    <row r="613" spans="5:8" ht="14.25" customHeight="1">
      <c r="E613" s="71"/>
      <c r="F613" s="206"/>
      <c r="G613" s="206"/>
      <c r="H613" s="206"/>
    </row>
    <row r="614" spans="5:8" ht="14.25" customHeight="1">
      <c r="E614" s="71"/>
      <c r="F614" s="206"/>
      <c r="G614" s="206"/>
      <c r="H614" s="206"/>
    </row>
    <row r="615" spans="5:8" ht="14.25" customHeight="1">
      <c r="E615" s="71"/>
      <c r="F615" s="206"/>
      <c r="G615" s="206"/>
      <c r="H615" s="206"/>
    </row>
    <row r="616" spans="5:8" ht="14.25" customHeight="1">
      <c r="E616" s="71"/>
      <c r="F616" s="206"/>
      <c r="G616" s="206"/>
      <c r="H616" s="206"/>
    </row>
    <row r="617" spans="5:8" ht="14.25" customHeight="1">
      <c r="E617" s="71"/>
      <c r="F617" s="206"/>
      <c r="G617" s="206"/>
      <c r="H617" s="206"/>
    </row>
    <row r="618" spans="5:8" ht="14.25" customHeight="1">
      <c r="E618" s="71"/>
      <c r="F618" s="206"/>
      <c r="G618" s="206"/>
      <c r="H618" s="206"/>
    </row>
    <row r="619" spans="5:8" ht="14.25" customHeight="1">
      <c r="E619" s="71"/>
      <c r="F619" s="206"/>
      <c r="G619" s="206"/>
      <c r="H619" s="206"/>
    </row>
    <row r="620" spans="5:8" ht="14.25" customHeight="1">
      <c r="E620" s="71"/>
      <c r="F620" s="206"/>
      <c r="G620" s="206"/>
      <c r="H620" s="206"/>
    </row>
    <row r="621" spans="5:8" ht="14.25" customHeight="1">
      <c r="E621" s="71"/>
      <c r="F621" s="206"/>
      <c r="G621" s="206"/>
      <c r="H621" s="206"/>
    </row>
    <row r="622" spans="5:8" ht="14.25" customHeight="1">
      <c r="E622" s="71"/>
      <c r="F622" s="206"/>
      <c r="G622" s="206"/>
      <c r="H622" s="206"/>
    </row>
    <row r="623" spans="5:8" ht="14.25" customHeight="1">
      <c r="E623" s="71"/>
      <c r="F623" s="206"/>
      <c r="G623" s="206"/>
      <c r="H623" s="206"/>
    </row>
    <row r="624" spans="5:8" ht="14.25" customHeight="1">
      <c r="E624" s="71"/>
      <c r="F624" s="206"/>
      <c r="G624" s="206"/>
      <c r="H624" s="206"/>
    </row>
    <row r="625" spans="5:8" ht="14.25" customHeight="1">
      <c r="E625" s="71"/>
      <c r="F625" s="206"/>
      <c r="G625" s="206"/>
      <c r="H625" s="206"/>
    </row>
    <row r="626" spans="5:8" ht="14.25" customHeight="1">
      <c r="E626" s="71"/>
      <c r="F626" s="206"/>
      <c r="G626" s="206"/>
      <c r="H626" s="206"/>
    </row>
    <row r="627" spans="5:8" ht="14.25" customHeight="1">
      <c r="E627" s="71"/>
      <c r="F627" s="206"/>
      <c r="G627" s="206"/>
      <c r="H627" s="206"/>
    </row>
    <row r="628" spans="5:8" ht="14.25" customHeight="1">
      <c r="E628" s="71"/>
      <c r="F628" s="206"/>
      <c r="G628" s="206"/>
      <c r="H628" s="206"/>
    </row>
    <row r="629" spans="5:8" ht="14.25" customHeight="1">
      <c r="E629" s="71"/>
      <c r="F629" s="206"/>
      <c r="G629" s="206"/>
      <c r="H629" s="206"/>
    </row>
    <row r="630" spans="5:8" ht="14.25" customHeight="1">
      <c r="E630" s="71"/>
      <c r="F630" s="206"/>
      <c r="G630" s="206"/>
      <c r="H630" s="206"/>
    </row>
    <row r="631" spans="5:8" ht="14.25" customHeight="1">
      <c r="E631" s="71"/>
      <c r="F631" s="206"/>
      <c r="G631" s="206"/>
      <c r="H631" s="206"/>
    </row>
    <row r="632" spans="5:8" ht="14.25" customHeight="1">
      <c r="E632" s="71"/>
      <c r="F632" s="206"/>
      <c r="G632" s="206"/>
      <c r="H632" s="206"/>
    </row>
    <row r="633" spans="5:8" ht="14.25" customHeight="1">
      <c r="E633" s="71"/>
      <c r="F633" s="206"/>
      <c r="G633" s="206"/>
      <c r="H633" s="206"/>
    </row>
    <row r="634" spans="5:8" ht="14.25" customHeight="1">
      <c r="E634" s="71"/>
      <c r="F634" s="206"/>
      <c r="G634" s="206"/>
      <c r="H634" s="206"/>
    </row>
    <row r="635" spans="5:8" ht="14.25" customHeight="1">
      <c r="E635" s="71"/>
      <c r="F635" s="206"/>
      <c r="G635" s="206"/>
      <c r="H635" s="206"/>
    </row>
    <row r="636" spans="5:8" ht="14.25" customHeight="1">
      <c r="E636" s="71"/>
      <c r="F636" s="206"/>
      <c r="G636" s="206"/>
      <c r="H636" s="206"/>
    </row>
    <row r="637" spans="5:8" ht="14.25" customHeight="1">
      <c r="E637" s="71"/>
      <c r="F637" s="206"/>
      <c r="G637" s="206"/>
      <c r="H637" s="206"/>
    </row>
    <row r="638" spans="5:8" ht="14.25" customHeight="1">
      <c r="E638" s="71"/>
      <c r="F638" s="206"/>
      <c r="G638" s="206"/>
      <c r="H638" s="206"/>
    </row>
    <row r="639" spans="5:8" ht="14.25" customHeight="1">
      <c r="E639" s="71"/>
      <c r="F639" s="206"/>
      <c r="G639" s="206"/>
      <c r="H639" s="206"/>
    </row>
    <row r="640" spans="5:8" ht="14.25" customHeight="1">
      <c r="E640" s="71"/>
      <c r="F640" s="206"/>
      <c r="G640" s="206"/>
      <c r="H640" s="206"/>
    </row>
    <row r="641" spans="5:8" ht="14.25" customHeight="1">
      <c r="E641" s="71"/>
      <c r="F641" s="206"/>
      <c r="G641" s="206"/>
      <c r="H641" s="206"/>
    </row>
    <row r="642" spans="5:8" ht="14.25" customHeight="1">
      <c r="E642" s="71"/>
      <c r="F642" s="206"/>
      <c r="G642" s="206"/>
      <c r="H642" s="206"/>
    </row>
    <row r="643" spans="5:8" ht="14.25" customHeight="1">
      <c r="E643" s="71"/>
      <c r="F643" s="206"/>
      <c r="G643" s="206"/>
      <c r="H643" s="206"/>
    </row>
    <row r="644" spans="5:8" ht="14.25" customHeight="1">
      <c r="E644" s="71"/>
      <c r="F644" s="206"/>
      <c r="G644" s="206"/>
      <c r="H644" s="206"/>
    </row>
    <row r="645" spans="5:8" ht="14.25" customHeight="1">
      <c r="E645" s="71"/>
      <c r="F645" s="206"/>
      <c r="G645" s="206"/>
      <c r="H645" s="206"/>
    </row>
    <row r="646" spans="5:8" ht="14.25" customHeight="1">
      <c r="E646" s="71"/>
      <c r="F646" s="206"/>
      <c r="G646" s="206"/>
      <c r="H646" s="206"/>
    </row>
    <row r="647" spans="5:8" ht="14.25" customHeight="1">
      <c r="E647" s="71"/>
      <c r="F647" s="206"/>
      <c r="G647" s="206"/>
      <c r="H647" s="206"/>
    </row>
    <row r="648" spans="5:8" ht="14.25" customHeight="1">
      <c r="E648" s="71"/>
      <c r="F648" s="206"/>
      <c r="G648" s="206"/>
      <c r="H648" s="206"/>
    </row>
    <row r="649" spans="5:8" ht="14.25" customHeight="1">
      <c r="E649" s="71"/>
      <c r="F649" s="206"/>
      <c r="G649" s="206"/>
      <c r="H649" s="206"/>
    </row>
    <row r="650" spans="5:8" ht="14.25" customHeight="1">
      <c r="E650" s="71"/>
      <c r="F650" s="206"/>
      <c r="G650" s="206"/>
      <c r="H650" s="206"/>
    </row>
    <row r="651" spans="5:8" ht="14.25" customHeight="1">
      <c r="E651" s="71"/>
      <c r="F651" s="206"/>
      <c r="G651" s="206"/>
      <c r="H651" s="206"/>
    </row>
    <row r="652" spans="5:8" ht="14.25" customHeight="1">
      <c r="E652" s="71"/>
      <c r="F652" s="206"/>
      <c r="G652" s="206"/>
      <c r="H652" s="206"/>
    </row>
    <row r="653" spans="5:8" ht="14.25" customHeight="1">
      <c r="E653" s="71"/>
      <c r="F653" s="206"/>
      <c r="G653" s="206"/>
      <c r="H653" s="206"/>
    </row>
    <row r="654" spans="5:8" ht="14.25" customHeight="1">
      <c r="E654" s="71"/>
      <c r="F654" s="206"/>
      <c r="G654" s="206"/>
      <c r="H654" s="206"/>
    </row>
    <row r="655" spans="5:8" ht="14.25" customHeight="1">
      <c r="E655" s="71"/>
      <c r="F655" s="206"/>
      <c r="G655" s="206"/>
      <c r="H655" s="206"/>
    </row>
    <row r="656" spans="5:8" ht="14.25" customHeight="1">
      <c r="E656" s="71"/>
      <c r="F656" s="206"/>
      <c r="G656" s="206"/>
      <c r="H656" s="206"/>
    </row>
    <row r="657" spans="5:8" ht="14.25" customHeight="1">
      <c r="E657" s="71"/>
      <c r="F657" s="206"/>
      <c r="G657" s="206"/>
      <c r="H657" s="206"/>
    </row>
    <row r="658" spans="5:8" ht="14.25" customHeight="1">
      <c r="E658" s="71"/>
      <c r="F658" s="206"/>
      <c r="G658" s="206"/>
      <c r="H658" s="206"/>
    </row>
    <row r="659" spans="5:8" ht="14.25" customHeight="1">
      <c r="E659" s="71"/>
      <c r="F659" s="206"/>
      <c r="G659" s="206"/>
      <c r="H659" s="206"/>
    </row>
    <row r="660" spans="5:8" ht="14.25" customHeight="1">
      <c r="E660" s="71"/>
      <c r="F660" s="206"/>
      <c r="G660" s="206"/>
      <c r="H660" s="206"/>
    </row>
    <row r="661" spans="5:8" ht="14.25" customHeight="1">
      <c r="E661" s="71"/>
      <c r="F661" s="206"/>
      <c r="G661" s="206"/>
      <c r="H661" s="206"/>
    </row>
    <row r="662" spans="5:8" ht="14.25" customHeight="1">
      <c r="E662" s="71"/>
      <c r="F662" s="206"/>
      <c r="G662" s="206"/>
      <c r="H662" s="206"/>
    </row>
    <row r="663" spans="5:8" ht="14.25" customHeight="1">
      <c r="E663" s="71"/>
      <c r="F663" s="206"/>
      <c r="G663" s="206"/>
      <c r="H663" s="206"/>
    </row>
    <row r="664" spans="5:8" ht="14.25" customHeight="1">
      <c r="E664" s="71"/>
      <c r="F664" s="206"/>
      <c r="G664" s="206"/>
      <c r="H664" s="206"/>
    </row>
    <row r="665" spans="5:8" ht="14.25" customHeight="1">
      <c r="E665" s="71"/>
      <c r="F665" s="206"/>
      <c r="G665" s="206"/>
      <c r="H665" s="206"/>
    </row>
    <row r="666" spans="5:8" ht="14.25" customHeight="1">
      <c r="E666" s="71"/>
      <c r="F666" s="206"/>
      <c r="G666" s="206"/>
      <c r="H666" s="206"/>
    </row>
    <row r="667" spans="5:8" ht="14.25" customHeight="1">
      <c r="E667" s="71"/>
      <c r="F667" s="206"/>
      <c r="G667" s="206"/>
      <c r="H667" s="206"/>
    </row>
    <row r="668" spans="5:8" ht="14.25" customHeight="1">
      <c r="E668" s="71"/>
      <c r="F668" s="206"/>
      <c r="G668" s="206"/>
      <c r="H668" s="206"/>
    </row>
    <row r="669" spans="5:8" ht="14.25" customHeight="1">
      <c r="E669" s="71"/>
      <c r="F669" s="206"/>
      <c r="G669" s="206"/>
      <c r="H669" s="206"/>
    </row>
    <row r="670" spans="5:8" ht="14.25" customHeight="1">
      <c r="E670" s="71"/>
      <c r="F670" s="206"/>
      <c r="G670" s="206"/>
      <c r="H670" s="206"/>
    </row>
    <row r="671" spans="5:8" ht="14.25" customHeight="1">
      <c r="E671" s="71"/>
      <c r="F671" s="206"/>
      <c r="G671" s="206"/>
      <c r="H671" s="206"/>
    </row>
    <row r="672" spans="5:8" ht="14.25" customHeight="1">
      <c r="E672" s="71"/>
      <c r="F672" s="206"/>
      <c r="G672" s="206"/>
      <c r="H672" s="206"/>
    </row>
    <row r="673" spans="5:8" ht="14.25" customHeight="1">
      <c r="E673" s="71"/>
      <c r="F673" s="206"/>
      <c r="G673" s="206"/>
      <c r="H673" s="206"/>
    </row>
    <row r="674" spans="5:8" ht="14.25" customHeight="1">
      <c r="E674" s="71"/>
      <c r="F674" s="206"/>
      <c r="G674" s="206"/>
      <c r="H674" s="206"/>
    </row>
    <row r="675" spans="5:8" ht="14.25" customHeight="1">
      <c r="E675" s="71"/>
      <c r="F675" s="206"/>
      <c r="G675" s="206"/>
      <c r="H675" s="206"/>
    </row>
    <row r="676" spans="5:8" ht="14.25" customHeight="1">
      <c r="E676" s="71"/>
      <c r="F676" s="206"/>
      <c r="G676" s="206"/>
      <c r="H676" s="206"/>
    </row>
    <row r="677" spans="5:8" ht="14.25" customHeight="1">
      <c r="E677" s="71"/>
      <c r="F677" s="206"/>
      <c r="G677" s="206"/>
      <c r="H677" s="206"/>
    </row>
    <row r="678" spans="5:8" ht="14.25" customHeight="1">
      <c r="E678" s="71"/>
      <c r="F678" s="206"/>
      <c r="G678" s="206"/>
      <c r="H678" s="206"/>
    </row>
    <row r="679" spans="5:8" ht="14.25" customHeight="1">
      <c r="E679" s="71"/>
      <c r="F679" s="206"/>
      <c r="G679" s="206"/>
      <c r="H679" s="206"/>
    </row>
    <row r="680" spans="5:8" ht="14.25" customHeight="1">
      <c r="E680" s="71"/>
      <c r="F680" s="206"/>
      <c r="G680" s="206"/>
      <c r="H680" s="206"/>
    </row>
    <row r="681" spans="5:8" ht="14.25" customHeight="1">
      <c r="E681" s="71"/>
      <c r="F681" s="206"/>
      <c r="G681" s="206"/>
      <c r="H681" s="206"/>
    </row>
    <row r="682" spans="5:8" ht="14.25" customHeight="1">
      <c r="E682" s="71"/>
      <c r="F682" s="206"/>
      <c r="G682" s="206"/>
      <c r="H682" s="206"/>
    </row>
    <row r="683" spans="5:8" ht="14.25" customHeight="1">
      <c r="E683" s="71"/>
      <c r="F683" s="206"/>
      <c r="G683" s="206"/>
      <c r="H683" s="206"/>
    </row>
    <row r="684" spans="5:8" ht="14.25" customHeight="1">
      <c r="E684" s="71"/>
      <c r="F684" s="206"/>
      <c r="G684" s="206"/>
      <c r="H684" s="206"/>
    </row>
    <row r="685" spans="5:8" ht="14.25" customHeight="1">
      <c r="E685" s="71"/>
      <c r="F685" s="206"/>
      <c r="G685" s="206"/>
      <c r="H685" s="206"/>
    </row>
    <row r="686" spans="5:8" ht="14.25" customHeight="1">
      <c r="E686" s="71"/>
      <c r="F686" s="206"/>
      <c r="G686" s="206"/>
      <c r="H686" s="206"/>
    </row>
    <row r="687" spans="5:8" ht="14.25" customHeight="1">
      <c r="E687" s="71"/>
      <c r="F687" s="206"/>
      <c r="G687" s="206"/>
      <c r="H687" s="206"/>
    </row>
    <row r="688" spans="5:8" ht="14.25" customHeight="1">
      <c r="E688" s="71"/>
      <c r="F688" s="206"/>
      <c r="G688" s="206"/>
      <c r="H688" s="206"/>
    </row>
    <row r="689" spans="5:8" ht="14.25" customHeight="1">
      <c r="E689" s="71"/>
      <c r="F689" s="206"/>
      <c r="G689" s="206"/>
      <c r="H689" s="206"/>
    </row>
    <row r="690" spans="5:8" ht="14.25" customHeight="1">
      <c r="E690" s="71"/>
      <c r="F690" s="206"/>
      <c r="G690" s="206"/>
      <c r="H690" s="206"/>
    </row>
    <row r="691" spans="5:8" ht="14.25" customHeight="1">
      <c r="E691" s="71"/>
      <c r="F691" s="206"/>
      <c r="G691" s="206"/>
      <c r="H691" s="206"/>
    </row>
    <row r="692" spans="5:8" ht="14.25" customHeight="1">
      <c r="E692" s="71"/>
      <c r="F692" s="206"/>
      <c r="G692" s="206"/>
      <c r="H692" s="206"/>
    </row>
    <row r="693" spans="5:8" ht="14.25" customHeight="1">
      <c r="E693" s="71"/>
      <c r="F693" s="206"/>
      <c r="G693" s="206"/>
      <c r="H693" s="206"/>
    </row>
    <row r="694" spans="5:8" ht="14.25" customHeight="1">
      <c r="E694" s="71"/>
      <c r="F694" s="206"/>
      <c r="G694" s="206"/>
      <c r="H694" s="206"/>
    </row>
    <row r="695" spans="5:8" ht="14.25" customHeight="1">
      <c r="E695" s="71"/>
      <c r="F695" s="206"/>
      <c r="G695" s="206"/>
      <c r="H695" s="206"/>
    </row>
    <row r="696" spans="5:8" ht="14.25" customHeight="1">
      <c r="E696" s="71"/>
      <c r="F696" s="206"/>
      <c r="G696" s="206"/>
      <c r="H696" s="206"/>
    </row>
    <row r="697" spans="5:8" ht="14.25" customHeight="1">
      <c r="E697" s="71"/>
      <c r="F697" s="206"/>
      <c r="G697" s="206"/>
      <c r="H697" s="206"/>
    </row>
    <row r="698" spans="5:8" ht="14.25" customHeight="1">
      <c r="E698" s="71"/>
      <c r="F698" s="206"/>
      <c r="G698" s="206"/>
      <c r="H698" s="206"/>
    </row>
    <row r="699" spans="5:8" ht="14.25" customHeight="1">
      <c r="E699" s="71"/>
      <c r="F699" s="206"/>
      <c r="G699" s="206"/>
      <c r="H699" s="206"/>
    </row>
    <row r="700" spans="5:8" ht="14.25" customHeight="1">
      <c r="E700" s="71"/>
      <c r="F700" s="206"/>
      <c r="G700" s="206"/>
      <c r="H700" s="206"/>
    </row>
    <row r="701" spans="5:8" ht="14.25" customHeight="1">
      <c r="E701" s="71"/>
      <c r="F701" s="206"/>
      <c r="G701" s="206"/>
      <c r="H701" s="206"/>
    </row>
    <row r="702" spans="5:8" ht="14.25" customHeight="1">
      <c r="E702" s="71"/>
      <c r="F702" s="206"/>
      <c r="G702" s="206"/>
      <c r="H702" s="206"/>
    </row>
    <row r="703" spans="5:8" ht="14.25" customHeight="1">
      <c r="E703" s="71"/>
      <c r="F703" s="206"/>
      <c r="G703" s="206"/>
      <c r="H703" s="206"/>
    </row>
    <row r="704" spans="5:8" ht="14.25" customHeight="1">
      <c r="E704" s="71"/>
      <c r="F704" s="206"/>
      <c r="G704" s="206"/>
      <c r="H704" s="206"/>
    </row>
    <row r="705" spans="5:8" ht="14.25" customHeight="1">
      <c r="E705" s="71"/>
      <c r="F705" s="206"/>
      <c r="G705" s="206"/>
      <c r="H705" s="206"/>
    </row>
    <row r="706" spans="5:8" ht="14.25" customHeight="1">
      <c r="E706" s="71"/>
      <c r="F706" s="206"/>
      <c r="G706" s="206"/>
      <c r="H706" s="206"/>
    </row>
    <row r="707" spans="5:8" ht="14.25" customHeight="1">
      <c r="E707" s="71"/>
      <c r="F707" s="206"/>
      <c r="G707" s="206"/>
      <c r="H707" s="206"/>
    </row>
    <row r="708" spans="5:8" ht="14.25" customHeight="1">
      <c r="E708" s="71"/>
      <c r="F708" s="206"/>
      <c r="G708" s="206"/>
      <c r="H708" s="206"/>
    </row>
    <row r="709" spans="5:8" ht="14.25" customHeight="1">
      <c r="E709" s="71"/>
      <c r="F709" s="206"/>
      <c r="G709" s="206"/>
      <c r="H709" s="206"/>
    </row>
    <row r="710" spans="5:8" ht="14.25" customHeight="1">
      <c r="E710" s="71"/>
      <c r="F710" s="206"/>
      <c r="G710" s="206"/>
      <c r="H710" s="206"/>
    </row>
    <row r="711" spans="5:8" ht="14.25" customHeight="1">
      <c r="E711" s="71"/>
      <c r="F711" s="206"/>
      <c r="G711" s="206"/>
      <c r="H711" s="206"/>
    </row>
    <row r="712" spans="5:8" ht="14.25" customHeight="1">
      <c r="E712" s="71"/>
      <c r="F712" s="206"/>
      <c r="G712" s="206"/>
      <c r="H712" s="206"/>
    </row>
    <row r="713" spans="5:8" ht="14.25" customHeight="1">
      <c r="E713" s="71"/>
      <c r="F713" s="206"/>
      <c r="G713" s="206"/>
      <c r="H713" s="206"/>
    </row>
    <row r="714" spans="5:8" ht="14.25" customHeight="1">
      <c r="E714" s="71"/>
      <c r="F714" s="206"/>
      <c r="G714" s="206"/>
      <c r="H714" s="206"/>
    </row>
    <row r="715" spans="5:8" ht="14.25" customHeight="1">
      <c r="E715" s="71"/>
      <c r="F715" s="206"/>
      <c r="G715" s="206"/>
      <c r="H715" s="206"/>
    </row>
    <row r="716" spans="5:8" ht="14.25" customHeight="1">
      <c r="E716" s="71"/>
      <c r="F716" s="206"/>
      <c r="G716" s="206"/>
      <c r="H716" s="206"/>
    </row>
    <row r="717" spans="5:8" ht="14.25" customHeight="1">
      <c r="E717" s="71"/>
      <c r="F717" s="206"/>
      <c r="G717" s="206"/>
      <c r="H717" s="206"/>
    </row>
    <row r="718" spans="5:8" ht="14.25" customHeight="1">
      <c r="E718" s="71"/>
      <c r="F718" s="206"/>
      <c r="G718" s="206"/>
      <c r="H718" s="206"/>
    </row>
    <row r="719" spans="5:8" ht="14.25" customHeight="1">
      <c r="E719" s="71"/>
      <c r="F719" s="206"/>
      <c r="G719" s="206"/>
      <c r="H719" s="206"/>
    </row>
    <row r="720" spans="5:8" ht="14.25" customHeight="1">
      <c r="E720" s="71"/>
      <c r="F720" s="206"/>
      <c r="G720" s="206"/>
      <c r="H720" s="206"/>
    </row>
    <row r="721" spans="5:8" ht="14.25" customHeight="1">
      <c r="E721" s="71"/>
      <c r="F721" s="206"/>
      <c r="G721" s="206"/>
      <c r="H721" s="206"/>
    </row>
    <row r="722" spans="5:8" ht="14.25" customHeight="1">
      <c r="E722" s="71"/>
      <c r="F722" s="206"/>
      <c r="G722" s="206"/>
      <c r="H722" s="206"/>
    </row>
    <row r="723" spans="5:8" ht="14.25" customHeight="1">
      <c r="E723" s="71"/>
      <c r="F723" s="206"/>
      <c r="G723" s="206"/>
      <c r="H723" s="206"/>
    </row>
    <row r="724" spans="5:8" ht="14.25" customHeight="1">
      <c r="E724" s="71"/>
      <c r="F724" s="206"/>
      <c r="G724" s="206"/>
      <c r="H724" s="206"/>
    </row>
    <row r="725" spans="5:8" ht="14.25" customHeight="1">
      <c r="E725" s="71"/>
      <c r="F725" s="206"/>
      <c r="G725" s="206"/>
      <c r="H725" s="206"/>
    </row>
    <row r="726" spans="5:8" ht="14.25" customHeight="1">
      <c r="E726" s="71"/>
      <c r="F726" s="206"/>
      <c r="G726" s="206"/>
      <c r="H726" s="206"/>
    </row>
    <row r="727" spans="5:8" ht="14.25" customHeight="1">
      <c r="E727" s="71"/>
      <c r="F727" s="206"/>
      <c r="G727" s="206"/>
      <c r="H727" s="206"/>
    </row>
    <row r="728" spans="5:8" ht="14.25" customHeight="1">
      <c r="E728" s="71"/>
      <c r="F728" s="206"/>
      <c r="G728" s="206"/>
      <c r="H728" s="206"/>
    </row>
    <row r="729" spans="5:8" ht="14.25" customHeight="1">
      <c r="E729" s="71"/>
      <c r="F729" s="206"/>
      <c r="G729" s="206"/>
      <c r="H729" s="206"/>
    </row>
    <row r="730" spans="5:8" ht="14.25" customHeight="1">
      <c r="E730" s="71"/>
      <c r="F730" s="206"/>
      <c r="G730" s="206"/>
      <c r="H730" s="206"/>
    </row>
    <row r="731" spans="5:8" ht="14.25" customHeight="1">
      <c r="E731" s="71"/>
      <c r="F731" s="206"/>
      <c r="G731" s="206"/>
      <c r="H731" s="206"/>
    </row>
    <row r="732" spans="5:8" ht="14.25" customHeight="1">
      <c r="E732" s="71"/>
      <c r="F732" s="206"/>
      <c r="G732" s="206"/>
      <c r="H732" s="206"/>
    </row>
    <row r="733" spans="5:8" ht="14.25" customHeight="1">
      <c r="E733" s="71"/>
      <c r="F733" s="206"/>
      <c r="G733" s="206"/>
      <c r="H733" s="206"/>
    </row>
    <row r="734" spans="5:8" ht="14.25" customHeight="1">
      <c r="E734" s="71"/>
      <c r="F734" s="206"/>
      <c r="G734" s="206"/>
      <c r="H734" s="206"/>
    </row>
    <row r="735" spans="5:8" ht="14.25" customHeight="1">
      <c r="E735" s="71"/>
      <c r="F735" s="206"/>
      <c r="G735" s="206"/>
      <c r="H735" s="206"/>
    </row>
    <row r="736" spans="5:8" ht="14.25" customHeight="1">
      <c r="E736" s="71"/>
      <c r="F736" s="206"/>
      <c r="G736" s="206"/>
      <c r="H736" s="206"/>
    </row>
    <row r="737" spans="5:8" ht="14.25" customHeight="1">
      <c r="E737" s="71"/>
      <c r="F737" s="206"/>
      <c r="G737" s="206"/>
      <c r="H737" s="206"/>
    </row>
    <row r="738" spans="5:8" ht="14.25" customHeight="1">
      <c r="E738" s="71"/>
      <c r="F738" s="206"/>
      <c r="G738" s="206"/>
      <c r="H738" s="206"/>
    </row>
    <row r="739" spans="5:8" ht="14.25" customHeight="1">
      <c r="E739" s="71"/>
      <c r="F739" s="206"/>
      <c r="G739" s="206"/>
      <c r="H739" s="206"/>
    </row>
    <row r="740" spans="5:8" ht="14.25" customHeight="1">
      <c r="E740" s="71"/>
      <c r="F740" s="206"/>
      <c r="G740" s="206"/>
      <c r="H740" s="206"/>
    </row>
    <row r="741" spans="5:8" ht="14.25" customHeight="1">
      <c r="E741" s="71"/>
      <c r="F741" s="206"/>
      <c r="G741" s="206"/>
      <c r="H741" s="206"/>
    </row>
    <row r="742" spans="5:8" ht="14.25" customHeight="1">
      <c r="E742" s="71"/>
      <c r="F742" s="206"/>
      <c r="G742" s="206"/>
      <c r="H742" s="206"/>
    </row>
    <row r="743" spans="5:8" ht="14.25" customHeight="1">
      <c r="E743" s="71"/>
      <c r="F743" s="206"/>
      <c r="G743" s="206"/>
      <c r="H743" s="206"/>
    </row>
    <row r="744" spans="5:8" ht="14.25" customHeight="1">
      <c r="E744" s="71"/>
      <c r="F744" s="206"/>
      <c r="G744" s="206"/>
      <c r="H744" s="206"/>
    </row>
    <row r="745" spans="5:8" ht="14.25" customHeight="1">
      <c r="E745" s="71"/>
      <c r="F745" s="206"/>
      <c r="G745" s="206"/>
      <c r="H745" s="206"/>
    </row>
    <row r="746" spans="5:8" ht="14.25" customHeight="1">
      <c r="E746" s="71"/>
      <c r="F746" s="206"/>
      <c r="G746" s="206"/>
      <c r="H746" s="206"/>
    </row>
    <row r="747" spans="5:8" ht="14.25" customHeight="1">
      <c r="E747" s="71"/>
      <c r="F747" s="206"/>
      <c r="G747" s="206"/>
      <c r="H747" s="206"/>
    </row>
    <row r="748" spans="5:8" ht="14.25" customHeight="1">
      <c r="E748" s="71"/>
      <c r="F748" s="206"/>
      <c r="G748" s="206"/>
      <c r="H748" s="206"/>
    </row>
    <row r="749" spans="5:8" ht="14.25" customHeight="1">
      <c r="E749" s="71"/>
      <c r="F749" s="206"/>
      <c r="G749" s="206"/>
      <c r="H749" s="206"/>
    </row>
    <row r="750" spans="5:8" ht="14.25" customHeight="1">
      <c r="E750" s="71"/>
      <c r="F750" s="206"/>
      <c r="G750" s="206"/>
      <c r="H750" s="206"/>
    </row>
    <row r="751" spans="5:8" ht="14.25" customHeight="1">
      <c r="E751" s="71"/>
      <c r="F751" s="206"/>
      <c r="G751" s="206"/>
      <c r="H751" s="206"/>
    </row>
    <row r="752" spans="5:8" ht="14.25" customHeight="1">
      <c r="E752" s="71"/>
      <c r="F752" s="206"/>
      <c r="G752" s="206"/>
      <c r="H752" s="206"/>
    </row>
    <row r="753" spans="5:8" ht="14.25" customHeight="1">
      <c r="E753" s="71"/>
      <c r="F753" s="206"/>
      <c r="G753" s="206"/>
      <c r="H753" s="206"/>
    </row>
    <row r="754" spans="5:8" ht="14.25" customHeight="1">
      <c r="E754" s="71"/>
      <c r="F754" s="206"/>
      <c r="G754" s="206"/>
      <c r="H754" s="206"/>
    </row>
    <row r="755" spans="5:8" ht="14.25" customHeight="1">
      <c r="E755" s="71"/>
      <c r="F755" s="206"/>
      <c r="G755" s="206"/>
      <c r="H755" s="206"/>
    </row>
    <row r="756" spans="5:8" ht="14.25" customHeight="1">
      <c r="E756" s="71"/>
      <c r="F756" s="206"/>
      <c r="G756" s="206"/>
      <c r="H756" s="206"/>
    </row>
    <row r="757" spans="5:8" ht="14.25" customHeight="1">
      <c r="E757" s="71"/>
      <c r="F757" s="206"/>
      <c r="G757" s="206"/>
      <c r="H757" s="206"/>
    </row>
    <row r="758" spans="5:8" ht="14.25" customHeight="1">
      <c r="E758" s="71"/>
      <c r="F758" s="206"/>
      <c r="G758" s="206"/>
      <c r="H758" s="206"/>
    </row>
    <row r="759" spans="5:8" ht="14.25" customHeight="1">
      <c r="E759" s="71"/>
      <c r="F759" s="206"/>
      <c r="G759" s="206"/>
      <c r="H759" s="206"/>
    </row>
    <row r="760" spans="5:8" ht="14.25" customHeight="1">
      <c r="E760" s="71"/>
      <c r="F760" s="206"/>
      <c r="G760" s="206"/>
      <c r="H760" s="206"/>
    </row>
    <row r="761" spans="5:8" ht="14.25" customHeight="1">
      <c r="E761" s="71"/>
      <c r="F761" s="206"/>
      <c r="G761" s="206"/>
      <c r="H761" s="206"/>
    </row>
    <row r="762" spans="5:8" ht="14.25" customHeight="1">
      <c r="E762" s="71"/>
      <c r="F762" s="206"/>
      <c r="G762" s="206"/>
      <c r="H762" s="206"/>
    </row>
    <row r="763" spans="5:8" ht="14.25" customHeight="1">
      <c r="E763" s="71"/>
      <c r="F763" s="206"/>
      <c r="G763" s="206"/>
      <c r="H763" s="206"/>
    </row>
    <row r="764" spans="5:8" ht="14.25" customHeight="1">
      <c r="E764" s="71"/>
      <c r="F764" s="206"/>
      <c r="G764" s="206"/>
      <c r="H764" s="206"/>
    </row>
    <row r="765" spans="5:8" ht="14.25" customHeight="1">
      <c r="E765" s="71"/>
      <c r="F765" s="206"/>
      <c r="G765" s="206"/>
      <c r="H765" s="206"/>
    </row>
    <row r="766" spans="5:8" ht="14.25" customHeight="1">
      <c r="E766" s="71"/>
      <c r="F766" s="206"/>
      <c r="G766" s="206"/>
      <c r="H766" s="206"/>
    </row>
    <row r="767" spans="5:8" ht="14.25" customHeight="1">
      <c r="E767" s="71"/>
      <c r="F767" s="206"/>
      <c r="G767" s="206"/>
      <c r="H767" s="206"/>
    </row>
    <row r="768" spans="5:8" ht="14.25" customHeight="1">
      <c r="E768" s="71"/>
      <c r="F768" s="206"/>
      <c r="G768" s="206"/>
      <c r="H768" s="206"/>
    </row>
    <row r="769" spans="5:8" ht="14.25" customHeight="1">
      <c r="E769" s="71"/>
      <c r="F769" s="206"/>
      <c r="G769" s="206"/>
      <c r="H769" s="206"/>
    </row>
    <row r="770" spans="5:8" ht="14.25" customHeight="1">
      <c r="E770" s="71"/>
      <c r="F770" s="206"/>
      <c r="G770" s="206"/>
      <c r="H770" s="206"/>
    </row>
    <row r="771" spans="5:8" ht="14.25" customHeight="1">
      <c r="E771" s="71"/>
      <c r="F771" s="206"/>
      <c r="G771" s="206"/>
      <c r="H771" s="206"/>
    </row>
    <row r="772" spans="5:8" ht="14.25" customHeight="1">
      <c r="E772" s="71"/>
      <c r="F772" s="206"/>
      <c r="G772" s="206"/>
      <c r="H772" s="206"/>
    </row>
    <row r="773" spans="5:8" ht="14.25" customHeight="1">
      <c r="E773" s="71"/>
      <c r="F773" s="206"/>
      <c r="G773" s="206"/>
      <c r="H773" s="206"/>
    </row>
    <row r="774" spans="5:8" ht="14.25" customHeight="1">
      <c r="E774" s="71"/>
      <c r="F774" s="206"/>
      <c r="G774" s="206"/>
      <c r="H774" s="206"/>
    </row>
    <row r="775" spans="5:8" ht="14.25" customHeight="1">
      <c r="E775" s="71"/>
      <c r="F775" s="206"/>
      <c r="G775" s="206"/>
      <c r="H775" s="206"/>
    </row>
    <row r="776" spans="5:8" ht="14.25" customHeight="1">
      <c r="E776" s="71"/>
      <c r="F776" s="206"/>
      <c r="G776" s="206"/>
      <c r="H776" s="206"/>
    </row>
    <row r="777" spans="5:8" ht="14.25" customHeight="1">
      <c r="E777" s="71"/>
      <c r="F777" s="206"/>
      <c r="G777" s="206"/>
      <c r="H777" s="206"/>
    </row>
    <row r="778" spans="5:8" ht="14.25" customHeight="1">
      <c r="E778" s="71"/>
      <c r="F778" s="206"/>
      <c r="G778" s="206"/>
      <c r="H778" s="206"/>
    </row>
    <row r="779" spans="5:8" ht="14.25" customHeight="1">
      <c r="E779" s="71"/>
      <c r="F779" s="206"/>
      <c r="G779" s="206"/>
      <c r="H779" s="206"/>
    </row>
    <row r="780" spans="5:8" ht="14.25" customHeight="1">
      <c r="E780" s="71"/>
      <c r="F780" s="206"/>
      <c r="G780" s="206"/>
      <c r="H780" s="206"/>
    </row>
    <row r="781" spans="5:8" ht="14.25" customHeight="1">
      <c r="E781" s="71"/>
      <c r="F781" s="206"/>
      <c r="G781" s="206"/>
      <c r="H781" s="206"/>
    </row>
    <row r="782" spans="5:8" ht="14.25" customHeight="1">
      <c r="E782" s="71"/>
      <c r="F782" s="206"/>
      <c r="G782" s="206"/>
      <c r="H782" s="206"/>
    </row>
    <row r="783" spans="5:8" ht="14.25" customHeight="1">
      <c r="E783" s="71"/>
      <c r="F783" s="206"/>
      <c r="G783" s="206"/>
      <c r="H783" s="206"/>
    </row>
    <row r="784" spans="5:8" ht="14.25" customHeight="1">
      <c r="E784" s="71"/>
      <c r="F784" s="206"/>
      <c r="G784" s="206"/>
      <c r="H784" s="206"/>
    </row>
    <row r="785" spans="5:8" ht="14.25" customHeight="1">
      <c r="E785" s="71"/>
      <c r="F785" s="206"/>
      <c r="G785" s="206"/>
      <c r="H785" s="206"/>
    </row>
    <row r="786" spans="5:8" ht="14.25" customHeight="1">
      <c r="E786" s="71"/>
      <c r="F786" s="206"/>
      <c r="G786" s="206"/>
      <c r="H786" s="206"/>
    </row>
    <row r="787" spans="5:8" ht="14.25" customHeight="1">
      <c r="E787" s="71"/>
      <c r="F787" s="206"/>
      <c r="G787" s="206"/>
      <c r="H787" s="206"/>
    </row>
    <row r="788" spans="5:8" ht="14.25" customHeight="1">
      <c r="E788" s="71"/>
      <c r="F788" s="206"/>
      <c r="G788" s="206"/>
      <c r="H788" s="206"/>
    </row>
    <row r="789" spans="5:8" ht="14.25" customHeight="1">
      <c r="E789" s="71"/>
      <c r="F789" s="206"/>
      <c r="G789" s="206"/>
      <c r="H789" s="206"/>
    </row>
    <row r="790" spans="5:8" ht="14.25" customHeight="1">
      <c r="E790" s="71"/>
      <c r="F790" s="206"/>
      <c r="G790" s="206"/>
      <c r="H790" s="206"/>
    </row>
    <row r="791" spans="5:8" ht="14.25" customHeight="1">
      <c r="E791" s="71"/>
      <c r="F791" s="206"/>
      <c r="G791" s="206"/>
      <c r="H791" s="206"/>
    </row>
    <row r="792" spans="5:8" ht="14.25" customHeight="1">
      <c r="E792" s="71"/>
      <c r="F792" s="206"/>
      <c r="G792" s="206"/>
      <c r="H792" s="206"/>
    </row>
    <row r="793" spans="5:8" ht="14.25" customHeight="1">
      <c r="E793" s="71"/>
      <c r="F793" s="206"/>
      <c r="G793" s="206"/>
      <c r="H793" s="206"/>
    </row>
    <row r="794" spans="5:8" ht="14.25" customHeight="1">
      <c r="E794" s="71"/>
      <c r="F794" s="206"/>
      <c r="G794" s="206"/>
      <c r="H794" s="206"/>
    </row>
    <row r="795" spans="5:8" ht="14.25" customHeight="1">
      <c r="E795" s="71"/>
      <c r="F795" s="206"/>
      <c r="G795" s="206"/>
      <c r="H795" s="206"/>
    </row>
    <row r="796" spans="5:8" ht="14.25" customHeight="1">
      <c r="E796" s="71"/>
      <c r="F796" s="206"/>
      <c r="G796" s="206"/>
      <c r="H796" s="206"/>
    </row>
    <row r="797" spans="5:8" ht="14.25" customHeight="1">
      <c r="E797" s="71"/>
      <c r="F797" s="206"/>
      <c r="G797" s="206"/>
      <c r="H797" s="206"/>
    </row>
    <row r="798" spans="5:8" ht="14.25" customHeight="1">
      <c r="E798" s="71"/>
      <c r="F798" s="206"/>
      <c r="G798" s="206"/>
      <c r="H798" s="206"/>
    </row>
    <row r="799" spans="5:8" ht="14.25" customHeight="1">
      <c r="E799" s="71"/>
      <c r="F799" s="206"/>
      <c r="G799" s="206"/>
      <c r="H799" s="206"/>
    </row>
    <row r="800" spans="5:8" ht="14.25" customHeight="1">
      <c r="E800" s="71"/>
      <c r="F800" s="206"/>
      <c r="G800" s="206"/>
      <c r="H800" s="206"/>
    </row>
    <row r="801" spans="5:8" ht="14.25" customHeight="1">
      <c r="E801" s="71"/>
      <c r="F801" s="206"/>
      <c r="G801" s="206"/>
      <c r="H801" s="206"/>
    </row>
    <row r="802" spans="5:8" ht="14.25" customHeight="1">
      <c r="E802" s="71"/>
      <c r="F802" s="206"/>
      <c r="G802" s="206"/>
      <c r="H802" s="206"/>
    </row>
    <row r="803" spans="5:8" ht="14.25" customHeight="1">
      <c r="E803" s="71"/>
      <c r="F803" s="206"/>
      <c r="G803" s="206"/>
      <c r="H803" s="206"/>
    </row>
    <row r="804" spans="5:8" ht="14.25" customHeight="1">
      <c r="E804" s="71"/>
      <c r="F804" s="206"/>
      <c r="G804" s="206"/>
      <c r="H804" s="206"/>
    </row>
    <row r="805" spans="5:8" ht="14.25" customHeight="1">
      <c r="E805" s="71"/>
      <c r="F805" s="206"/>
      <c r="G805" s="206"/>
      <c r="H805" s="206"/>
    </row>
    <row r="806" spans="5:8" ht="14.25" customHeight="1">
      <c r="E806" s="71"/>
      <c r="F806" s="206"/>
      <c r="G806" s="206"/>
      <c r="H806" s="206"/>
    </row>
    <row r="807" spans="5:8" ht="14.25" customHeight="1">
      <c r="E807" s="71"/>
      <c r="F807" s="206"/>
      <c r="G807" s="206"/>
      <c r="H807" s="206"/>
    </row>
    <row r="808" spans="5:8" ht="14.25" customHeight="1">
      <c r="E808" s="71"/>
      <c r="F808" s="206"/>
      <c r="G808" s="206"/>
      <c r="H808" s="206"/>
    </row>
    <row r="809" spans="5:8" ht="14.25" customHeight="1">
      <c r="E809" s="71"/>
      <c r="F809" s="206"/>
      <c r="G809" s="206"/>
      <c r="H809" s="206"/>
    </row>
    <row r="810" spans="5:8" ht="14.25" customHeight="1">
      <c r="E810" s="71"/>
      <c r="F810" s="206"/>
      <c r="G810" s="206"/>
      <c r="H810" s="206"/>
    </row>
    <row r="811" spans="5:8" ht="14.25" customHeight="1">
      <c r="E811" s="71"/>
      <c r="F811" s="206"/>
      <c r="G811" s="206"/>
      <c r="H811" s="206"/>
    </row>
    <row r="812" spans="5:8" ht="14.25" customHeight="1">
      <c r="E812" s="71"/>
      <c r="F812" s="206"/>
      <c r="G812" s="206"/>
      <c r="H812" s="206"/>
    </row>
    <row r="813" spans="5:8" ht="14.25" customHeight="1">
      <c r="E813" s="71"/>
      <c r="F813" s="206"/>
      <c r="G813" s="206"/>
      <c r="H813" s="206"/>
    </row>
    <row r="814" spans="5:8" ht="14.25" customHeight="1">
      <c r="E814" s="71"/>
      <c r="F814" s="206"/>
      <c r="G814" s="206"/>
      <c r="H814" s="206"/>
    </row>
    <row r="815" spans="5:8" ht="14.25" customHeight="1">
      <c r="E815" s="71"/>
      <c r="F815" s="206"/>
      <c r="G815" s="206"/>
      <c r="H815" s="206"/>
    </row>
    <row r="816" spans="5:8" ht="14.25" customHeight="1">
      <c r="E816" s="71"/>
      <c r="F816" s="206"/>
      <c r="G816" s="206"/>
      <c r="H816" s="206"/>
    </row>
    <row r="817" spans="5:8" ht="14.25" customHeight="1">
      <c r="E817" s="71"/>
      <c r="F817" s="206"/>
      <c r="G817" s="206"/>
      <c r="H817" s="206"/>
    </row>
    <row r="818" spans="5:8" ht="14.25" customHeight="1">
      <c r="E818" s="71"/>
      <c r="F818" s="206"/>
      <c r="G818" s="206"/>
      <c r="H818" s="206"/>
    </row>
    <row r="819" spans="5:8" ht="14.25" customHeight="1">
      <c r="E819" s="71"/>
      <c r="F819" s="206"/>
      <c r="G819" s="206"/>
      <c r="H819" s="206"/>
    </row>
    <row r="820" spans="5:8" ht="14.25" customHeight="1">
      <c r="E820" s="71"/>
      <c r="F820" s="206"/>
      <c r="G820" s="206"/>
      <c r="H820" s="206"/>
    </row>
    <row r="821" spans="5:8" ht="14.25" customHeight="1">
      <c r="E821" s="71"/>
      <c r="F821" s="206"/>
      <c r="G821" s="206"/>
      <c r="H821" s="206"/>
    </row>
    <row r="822" spans="5:8" ht="14.25" customHeight="1">
      <c r="E822" s="71"/>
      <c r="F822" s="206"/>
      <c r="G822" s="206"/>
      <c r="H822" s="206"/>
    </row>
    <row r="823" spans="5:8" ht="14.25" customHeight="1">
      <c r="E823" s="71"/>
      <c r="F823" s="206"/>
      <c r="G823" s="206"/>
      <c r="H823" s="206"/>
    </row>
    <row r="824" spans="5:8" ht="14.25" customHeight="1">
      <c r="E824" s="71"/>
      <c r="F824" s="206"/>
      <c r="G824" s="206"/>
      <c r="H824" s="206"/>
    </row>
    <row r="825" spans="5:8" ht="14.25" customHeight="1">
      <c r="E825" s="71"/>
      <c r="F825" s="206"/>
      <c r="G825" s="206"/>
      <c r="H825" s="206"/>
    </row>
    <row r="826" spans="5:8" ht="14.25" customHeight="1">
      <c r="E826" s="71"/>
      <c r="F826" s="206"/>
      <c r="G826" s="206"/>
      <c r="H826" s="206"/>
    </row>
    <row r="827" spans="5:8" ht="14.25" customHeight="1">
      <c r="E827" s="71"/>
      <c r="F827" s="206"/>
      <c r="G827" s="206"/>
      <c r="H827" s="206"/>
    </row>
    <row r="828" spans="5:8" ht="14.25" customHeight="1">
      <c r="E828" s="71"/>
      <c r="F828" s="206"/>
      <c r="G828" s="206"/>
      <c r="H828" s="206"/>
    </row>
    <row r="829" spans="5:8" ht="14.25" customHeight="1">
      <c r="E829" s="71"/>
      <c r="F829" s="206"/>
      <c r="G829" s="206"/>
      <c r="H829" s="206"/>
    </row>
    <row r="830" spans="5:8" ht="14.25" customHeight="1">
      <c r="E830" s="71"/>
      <c r="F830" s="206"/>
      <c r="G830" s="206"/>
      <c r="H830" s="206"/>
    </row>
    <row r="831" spans="5:8" ht="14.25" customHeight="1">
      <c r="E831" s="71"/>
      <c r="F831" s="206"/>
      <c r="G831" s="206"/>
      <c r="H831" s="206"/>
    </row>
    <row r="832" spans="5:8" ht="14.25" customHeight="1">
      <c r="E832" s="71"/>
      <c r="F832" s="206"/>
      <c r="G832" s="206"/>
      <c r="H832" s="206"/>
    </row>
    <row r="833" spans="5:8" ht="14.25" customHeight="1">
      <c r="E833" s="71"/>
      <c r="F833" s="206"/>
      <c r="G833" s="206"/>
      <c r="H833" s="206"/>
    </row>
    <row r="834" spans="5:8" ht="14.25" customHeight="1">
      <c r="E834" s="71"/>
      <c r="F834" s="206"/>
      <c r="G834" s="206"/>
      <c r="H834" s="206"/>
    </row>
    <row r="835" spans="5:8" ht="14.25" customHeight="1">
      <c r="E835" s="71"/>
      <c r="F835" s="206"/>
      <c r="G835" s="206"/>
      <c r="H835" s="206"/>
    </row>
    <row r="836" spans="5:8" ht="14.25" customHeight="1">
      <c r="E836" s="71"/>
      <c r="F836" s="206"/>
      <c r="G836" s="206"/>
      <c r="H836" s="206"/>
    </row>
    <row r="837" spans="5:8" ht="14.25" customHeight="1">
      <c r="E837" s="71"/>
      <c r="F837" s="206"/>
      <c r="G837" s="206"/>
      <c r="H837" s="206"/>
    </row>
    <row r="838" spans="5:8" ht="14.25" customHeight="1">
      <c r="E838" s="71"/>
      <c r="F838" s="206"/>
      <c r="G838" s="206"/>
      <c r="H838" s="206"/>
    </row>
    <row r="839" spans="5:8" ht="14.25" customHeight="1">
      <c r="E839" s="71"/>
      <c r="F839" s="206"/>
      <c r="G839" s="206"/>
      <c r="H839" s="206"/>
    </row>
    <row r="840" spans="5:8" ht="14.25" customHeight="1">
      <c r="E840" s="71"/>
      <c r="F840" s="206"/>
      <c r="G840" s="206"/>
      <c r="H840" s="206"/>
    </row>
    <row r="841" spans="5:8" ht="14.25" customHeight="1">
      <c r="E841" s="71"/>
      <c r="F841" s="206"/>
      <c r="G841" s="206"/>
      <c r="H841" s="206"/>
    </row>
    <row r="842" spans="5:8" ht="14.25" customHeight="1">
      <c r="E842" s="71"/>
      <c r="F842" s="206"/>
      <c r="G842" s="206"/>
      <c r="H842" s="206"/>
    </row>
    <row r="843" spans="5:8" ht="14.25" customHeight="1">
      <c r="E843" s="71"/>
      <c r="F843" s="206"/>
      <c r="G843" s="206"/>
      <c r="H843" s="206"/>
    </row>
    <row r="844" spans="5:8" ht="14.25" customHeight="1">
      <c r="E844" s="71"/>
      <c r="F844" s="206"/>
      <c r="G844" s="206"/>
      <c r="H844" s="206"/>
    </row>
    <row r="845" spans="5:8" ht="14.25" customHeight="1">
      <c r="E845" s="71"/>
      <c r="F845" s="206"/>
      <c r="G845" s="206"/>
      <c r="H845" s="206"/>
    </row>
    <row r="846" spans="5:8" ht="14.25" customHeight="1">
      <c r="E846" s="71"/>
      <c r="F846" s="206"/>
      <c r="G846" s="206"/>
      <c r="H846" s="206"/>
    </row>
    <row r="847" spans="5:8" ht="14.25" customHeight="1">
      <c r="E847" s="71"/>
      <c r="F847" s="206"/>
      <c r="G847" s="206"/>
      <c r="H847" s="206"/>
    </row>
    <row r="848" spans="5:8" ht="14.25" customHeight="1">
      <c r="E848" s="71"/>
      <c r="F848" s="206"/>
      <c r="G848" s="206"/>
      <c r="H848" s="206"/>
    </row>
    <row r="849" spans="5:8" ht="14.25" customHeight="1">
      <c r="E849" s="71"/>
      <c r="F849" s="206"/>
      <c r="G849" s="206"/>
      <c r="H849" s="206"/>
    </row>
    <row r="850" spans="5:8" ht="14.25" customHeight="1">
      <c r="E850" s="71"/>
      <c r="F850" s="206"/>
      <c r="G850" s="206"/>
      <c r="H850" s="206"/>
    </row>
    <row r="851" spans="5:8" ht="14.25" customHeight="1">
      <c r="E851" s="71"/>
      <c r="F851" s="206"/>
      <c r="G851" s="206"/>
      <c r="H851" s="206"/>
    </row>
    <row r="852" spans="5:8" ht="14.25" customHeight="1">
      <c r="E852" s="71"/>
      <c r="F852" s="206"/>
      <c r="G852" s="206"/>
      <c r="H852" s="206"/>
    </row>
    <row r="853" spans="5:8" ht="14.25" customHeight="1">
      <c r="E853" s="71"/>
      <c r="F853" s="206"/>
      <c r="G853" s="206"/>
      <c r="H853" s="206"/>
    </row>
    <row r="854" spans="5:8" ht="14.25" customHeight="1">
      <c r="E854" s="71"/>
      <c r="F854" s="206"/>
      <c r="G854" s="206"/>
      <c r="H854" s="206"/>
    </row>
    <row r="855" spans="5:8" ht="14.25" customHeight="1">
      <c r="E855" s="71"/>
      <c r="F855" s="206"/>
      <c r="G855" s="206"/>
      <c r="H855" s="206"/>
    </row>
    <row r="856" spans="5:8" ht="14.25" customHeight="1">
      <c r="E856" s="71"/>
      <c r="F856" s="206"/>
      <c r="G856" s="206"/>
      <c r="H856" s="206"/>
    </row>
    <row r="857" spans="5:8" ht="14.25" customHeight="1">
      <c r="E857" s="71"/>
      <c r="F857" s="206"/>
      <c r="G857" s="206"/>
      <c r="H857" s="206"/>
    </row>
    <row r="858" spans="5:8" ht="14.25" customHeight="1">
      <c r="E858" s="71"/>
      <c r="F858" s="206"/>
      <c r="G858" s="206"/>
      <c r="H858" s="206"/>
    </row>
    <row r="859" spans="5:8" ht="14.25" customHeight="1">
      <c r="E859" s="71"/>
      <c r="F859" s="206"/>
      <c r="G859" s="206"/>
      <c r="H859" s="206"/>
    </row>
    <row r="860" spans="5:8" ht="14.25" customHeight="1">
      <c r="E860" s="71"/>
      <c r="F860" s="206"/>
      <c r="G860" s="206"/>
      <c r="H860" s="206"/>
    </row>
    <row r="861" spans="5:8" ht="14.25" customHeight="1">
      <c r="E861" s="71"/>
      <c r="F861" s="206"/>
      <c r="G861" s="206"/>
      <c r="H861" s="206"/>
    </row>
    <row r="862" spans="5:8" ht="14.25" customHeight="1">
      <c r="E862" s="71"/>
      <c r="F862" s="206"/>
      <c r="G862" s="206"/>
      <c r="H862" s="206"/>
    </row>
    <row r="863" spans="5:8" ht="14.25" customHeight="1">
      <c r="E863" s="71"/>
      <c r="F863" s="206"/>
      <c r="G863" s="206"/>
      <c r="H863" s="206"/>
    </row>
    <row r="864" spans="5:8" ht="14.25" customHeight="1">
      <c r="E864" s="71"/>
      <c r="F864" s="206"/>
      <c r="G864" s="206"/>
      <c r="H864" s="206"/>
    </row>
    <row r="865" spans="5:8" ht="14.25" customHeight="1">
      <c r="E865" s="71"/>
      <c r="F865" s="206"/>
      <c r="G865" s="206"/>
      <c r="H865" s="206"/>
    </row>
    <row r="866" spans="5:8" ht="14.25" customHeight="1">
      <c r="E866" s="71"/>
      <c r="F866" s="206"/>
      <c r="G866" s="206"/>
      <c r="H866" s="206"/>
    </row>
    <row r="867" spans="5:8" ht="14.25" customHeight="1">
      <c r="E867" s="71"/>
      <c r="F867" s="206"/>
      <c r="G867" s="206"/>
      <c r="H867" s="206"/>
    </row>
    <row r="868" spans="5:8" ht="14.25" customHeight="1">
      <c r="E868" s="71"/>
      <c r="F868" s="206"/>
      <c r="G868" s="206"/>
      <c r="H868" s="206"/>
    </row>
    <row r="869" spans="5:8" ht="14.25" customHeight="1">
      <c r="E869" s="71"/>
      <c r="F869" s="206"/>
      <c r="G869" s="206"/>
      <c r="H869" s="206"/>
    </row>
    <row r="870" spans="5:8" ht="14.25" customHeight="1">
      <c r="E870" s="71"/>
      <c r="F870" s="206"/>
      <c r="G870" s="206"/>
      <c r="H870" s="206"/>
    </row>
    <row r="871" spans="5:8" ht="14.25" customHeight="1">
      <c r="E871" s="71"/>
      <c r="F871" s="206"/>
      <c r="G871" s="206"/>
      <c r="H871" s="206"/>
    </row>
    <row r="872" spans="5:8" ht="14.25" customHeight="1">
      <c r="E872" s="71"/>
      <c r="F872" s="206"/>
      <c r="G872" s="206"/>
      <c r="H872" s="206"/>
    </row>
    <row r="873" spans="5:8" ht="14.25" customHeight="1">
      <c r="E873" s="71"/>
      <c r="F873" s="206"/>
      <c r="G873" s="206"/>
      <c r="H873" s="206"/>
    </row>
    <row r="874" spans="5:8" ht="14.25" customHeight="1">
      <c r="E874" s="71"/>
      <c r="F874" s="206"/>
      <c r="G874" s="206"/>
      <c r="H874" s="206"/>
    </row>
    <row r="875" spans="5:8" ht="14.25" customHeight="1">
      <c r="E875" s="71"/>
      <c r="F875" s="206"/>
      <c r="G875" s="206"/>
      <c r="H875" s="206"/>
    </row>
    <row r="876" spans="5:8" ht="14.25" customHeight="1">
      <c r="E876" s="71"/>
      <c r="F876" s="206"/>
      <c r="G876" s="206"/>
      <c r="H876" s="206"/>
    </row>
    <row r="877" spans="5:8" ht="14.25" customHeight="1">
      <c r="E877" s="71"/>
      <c r="F877" s="206"/>
      <c r="G877" s="206"/>
      <c r="H877" s="206"/>
    </row>
    <row r="878" spans="5:8" ht="14.25" customHeight="1">
      <c r="E878" s="71"/>
      <c r="F878" s="206"/>
      <c r="G878" s="206"/>
      <c r="H878" s="206"/>
    </row>
    <row r="879" spans="5:8" ht="14.25" customHeight="1">
      <c r="E879" s="71"/>
      <c r="F879" s="206"/>
      <c r="G879" s="206"/>
      <c r="H879" s="206"/>
    </row>
    <row r="880" spans="5:8" ht="14.25" customHeight="1">
      <c r="E880" s="71"/>
      <c r="F880" s="206"/>
      <c r="G880" s="206"/>
      <c r="H880" s="206"/>
    </row>
    <row r="881" spans="5:8" ht="14.25" customHeight="1">
      <c r="E881" s="71"/>
      <c r="F881" s="206"/>
      <c r="G881" s="206"/>
      <c r="H881" s="206"/>
    </row>
    <row r="882" spans="5:8" ht="14.25" customHeight="1">
      <c r="E882" s="71"/>
      <c r="F882" s="206"/>
      <c r="G882" s="206"/>
      <c r="H882" s="206"/>
    </row>
    <row r="883" spans="5:8" ht="14.25" customHeight="1">
      <c r="E883" s="71"/>
      <c r="F883" s="206"/>
      <c r="G883" s="206"/>
      <c r="H883" s="206"/>
    </row>
    <row r="884" spans="5:8" ht="14.25" customHeight="1">
      <c r="E884" s="71"/>
      <c r="F884" s="206"/>
      <c r="G884" s="206"/>
      <c r="H884" s="206"/>
    </row>
    <row r="885" spans="5:8" ht="14.25" customHeight="1">
      <c r="E885" s="71"/>
      <c r="F885" s="206"/>
      <c r="G885" s="206"/>
      <c r="H885" s="206"/>
    </row>
    <row r="886" spans="5:8" ht="14.25" customHeight="1">
      <c r="E886" s="71"/>
      <c r="F886" s="206"/>
      <c r="G886" s="206"/>
      <c r="H886" s="206"/>
    </row>
    <row r="887" spans="5:8" ht="14.25" customHeight="1">
      <c r="E887" s="71"/>
      <c r="F887" s="206"/>
      <c r="G887" s="206"/>
      <c r="H887" s="206"/>
    </row>
    <row r="888" spans="5:8" ht="14.25" customHeight="1">
      <c r="E888" s="71"/>
      <c r="F888" s="206"/>
      <c r="G888" s="206"/>
      <c r="H888" s="206"/>
    </row>
    <row r="889" spans="5:8" ht="14.25" customHeight="1">
      <c r="E889" s="71"/>
      <c r="F889" s="206"/>
      <c r="G889" s="206"/>
      <c r="H889" s="206"/>
    </row>
    <row r="890" spans="5:8" ht="14.25" customHeight="1">
      <c r="E890" s="71"/>
      <c r="F890" s="206"/>
      <c r="G890" s="206"/>
      <c r="H890" s="206"/>
    </row>
    <row r="891" spans="5:8" ht="14.25" customHeight="1">
      <c r="E891" s="71"/>
      <c r="F891" s="206"/>
      <c r="G891" s="206"/>
      <c r="H891" s="206"/>
    </row>
    <row r="892" spans="5:8" ht="14.25" customHeight="1">
      <c r="E892" s="71"/>
      <c r="F892" s="206"/>
      <c r="G892" s="206"/>
      <c r="H892" s="206"/>
    </row>
    <row r="893" spans="5:8" ht="14.25" customHeight="1">
      <c r="E893" s="71"/>
      <c r="F893" s="206"/>
      <c r="G893" s="206"/>
      <c r="H893" s="206"/>
    </row>
    <row r="894" spans="5:8" ht="14.25" customHeight="1">
      <c r="E894" s="71"/>
      <c r="F894" s="206"/>
      <c r="G894" s="206"/>
      <c r="H894" s="206"/>
    </row>
    <row r="895" spans="5:8" ht="14.25" customHeight="1">
      <c r="E895" s="71"/>
      <c r="F895" s="206"/>
      <c r="G895" s="206"/>
      <c r="H895" s="206"/>
    </row>
    <row r="896" spans="5:8" ht="14.25" customHeight="1">
      <c r="E896" s="71"/>
      <c r="F896" s="206"/>
      <c r="G896" s="206"/>
      <c r="H896" s="206"/>
    </row>
    <row r="897" spans="5:8" ht="14.25" customHeight="1">
      <c r="E897" s="71"/>
      <c r="F897" s="206"/>
      <c r="G897" s="206"/>
      <c r="H897" s="206"/>
    </row>
    <row r="898" spans="5:8" ht="14.25" customHeight="1">
      <c r="E898" s="71"/>
      <c r="F898" s="206"/>
      <c r="G898" s="206"/>
      <c r="H898" s="206"/>
    </row>
    <row r="899" spans="5:8" ht="14.25" customHeight="1">
      <c r="E899" s="71"/>
      <c r="F899" s="206"/>
      <c r="G899" s="206"/>
      <c r="H899" s="206"/>
    </row>
    <row r="900" spans="5:8" ht="14.25" customHeight="1">
      <c r="E900" s="71"/>
      <c r="F900" s="206"/>
      <c r="G900" s="206"/>
      <c r="H900" s="206"/>
    </row>
    <row r="901" spans="5:8" ht="14.25" customHeight="1">
      <c r="E901" s="71"/>
      <c r="F901" s="206"/>
      <c r="G901" s="206"/>
      <c r="H901" s="206"/>
    </row>
    <row r="902" spans="5:8" ht="14.25" customHeight="1">
      <c r="E902" s="71"/>
      <c r="F902" s="206"/>
      <c r="G902" s="206"/>
      <c r="H902" s="206"/>
    </row>
    <row r="903" spans="5:8" ht="14.25" customHeight="1">
      <c r="E903" s="71"/>
      <c r="F903" s="206"/>
      <c r="G903" s="206"/>
      <c r="H903" s="206"/>
    </row>
    <row r="904" spans="5:8" ht="14.25" customHeight="1">
      <c r="E904" s="71"/>
      <c r="F904" s="206"/>
      <c r="G904" s="206"/>
      <c r="H904" s="206"/>
    </row>
    <row r="905" spans="5:8" ht="14.25" customHeight="1">
      <c r="E905" s="71"/>
      <c r="F905" s="206"/>
      <c r="G905" s="206"/>
      <c r="H905" s="206"/>
    </row>
    <row r="906" spans="5:8" ht="14.25" customHeight="1">
      <c r="E906" s="71"/>
      <c r="F906" s="206"/>
      <c r="G906" s="206"/>
      <c r="H906" s="206"/>
    </row>
    <row r="907" spans="5:8" ht="14.25" customHeight="1">
      <c r="E907" s="71"/>
      <c r="F907" s="206"/>
      <c r="G907" s="206"/>
      <c r="H907" s="206"/>
    </row>
    <row r="908" spans="5:8" ht="14.25" customHeight="1">
      <c r="E908" s="71"/>
      <c r="F908" s="206"/>
      <c r="G908" s="206"/>
      <c r="H908" s="206"/>
    </row>
    <row r="909" spans="5:8" ht="14.25" customHeight="1">
      <c r="E909" s="71"/>
      <c r="F909" s="206"/>
      <c r="G909" s="206"/>
      <c r="H909" s="206"/>
    </row>
    <row r="910" spans="5:8" ht="14.25" customHeight="1">
      <c r="E910" s="71"/>
      <c r="F910" s="206"/>
      <c r="G910" s="206"/>
      <c r="H910" s="206"/>
    </row>
    <row r="911" spans="5:8" ht="14.25" customHeight="1">
      <c r="E911" s="71"/>
      <c r="F911" s="206"/>
      <c r="G911" s="206"/>
      <c r="H911" s="206"/>
    </row>
    <row r="912" spans="5:8" ht="14.25" customHeight="1">
      <c r="E912" s="71"/>
      <c r="F912" s="206"/>
      <c r="G912" s="206"/>
      <c r="H912" s="206"/>
    </row>
    <row r="913" spans="5:8" ht="14.25" customHeight="1">
      <c r="E913" s="71"/>
      <c r="F913" s="206"/>
      <c r="G913" s="206"/>
      <c r="H913" s="206"/>
    </row>
    <row r="914" spans="5:8" ht="14.25" customHeight="1">
      <c r="E914" s="71"/>
      <c r="F914" s="206"/>
      <c r="G914" s="206"/>
      <c r="H914" s="206"/>
    </row>
    <row r="915" spans="5:8" ht="14.25" customHeight="1">
      <c r="E915" s="71"/>
      <c r="F915" s="206"/>
      <c r="G915" s="206"/>
      <c r="H915" s="206"/>
    </row>
    <row r="916" spans="5:8" ht="14.25" customHeight="1">
      <c r="E916" s="71"/>
      <c r="F916" s="206"/>
      <c r="G916" s="206"/>
      <c r="H916" s="206"/>
    </row>
    <row r="917" spans="5:8" ht="14.25" customHeight="1">
      <c r="E917" s="71"/>
      <c r="F917" s="206"/>
      <c r="G917" s="206"/>
      <c r="H917" s="206"/>
    </row>
    <row r="918" spans="5:8" ht="14.25" customHeight="1">
      <c r="E918" s="71"/>
      <c r="F918" s="206"/>
      <c r="G918" s="206"/>
      <c r="H918" s="206"/>
    </row>
    <row r="919" spans="5:8" ht="14.25" customHeight="1">
      <c r="E919" s="71"/>
      <c r="F919" s="206"/>
      <c r="G919" s="206"/>
      <c r="H919" s="206"/>
    </row>
    <row r="920" spans="5:8" ht="14.25" customHeight="1">
      <c r="E920" s="71"/>
      <c r="F920" s="206"/>
      <c r="G920" s="206"/>
      <c r="H920" s="206"/>
    </row>
    <row r="921" spans="5:8" ht="14.25" customHeight="1">
      <c r="E921" s="71"/>
      <c r="F921" s="206"/>
      <c r="G921" s="206"/>
      <c r="H921" s="206"/>
    </row>
    <row r="922" spans="5:8" ht="14.25" customHeight="1">
      <c r="E922" s="71"/>
      <c r="F922" s="206"/>
      <c r="G922" s="206"/>
      <c r="H922" s="206"/>
    </row>
    <row r="923" spans="5:8" ht="14.25" customHeight="1">
      <c r="E923" s="71"/>
      <c r="F923" s="206"/>
      <c r="G923" s="206"/>
      <c r="H923" s="206"/>
    </row>
    <row r="924" spans="5:8" ht="14.25" customHeight="1">
      <c r="E924" s="71"/>
      <c r="F924" s="206"/>
      <c r="G924" s="206"/>
      <c r="H924" s="206"/>
    </row>
    <row r="925" spans="5:8" ht="14.25" customHeight="1">
      <c r="E925" s="71"/>
      <c r="F925" s="206"/>
      <c r="G925" s="206"/>
      <c r="H925" s="206"/>
    </row>
    <row r="926" spans="5:8" ht="14.25" customHeight="1">
      <c r="E926" s="71"/>
      <c r="F926" s="206"/>
      <c r="G926" s="206"/>
      <c r="H926" s="206"/>
    </row>
    <row r="927" spans="5:8" ht="14.25" customHeight="1">
      <c r="E927" s="71"/>
      <c r="F927" s="206"/>
      <c r="G927" s="206"/>
      <c r="H927" s="206"/>
    </row>
    <row r="928" spans="5:8" ht="14.25" customHeight="1">
      <c r="E928" s="71"/>
      <c r="F928" s="206"/>
      <c r="G928" s="206"/>
      <c r="H928" s="206"/>
    </row>
    <row r="929" spans="5:8" ht="14.25" customHeight="1">
      <c r="E929" s="71"/>
      <c r="F929" s="206"/>
      <c r="G929" s="206"/>
      <c r="H929" s="206"/>
    </row>
    <row r="930" spans="5:8" ht="14.25" customHeight="1">
      <c r="E930" s="71"/>
      <c r="F930" s="206"/>
      <c r="G930" s="206"/>
      <c r="H930" s="206"/>
    </row>
    <row r="931" spans="5:8" ht="14.25" customHeight="1">
      <c r="E931" s="71"/>
      <c r="F931" s="206"/>
      <c r="G931" s="206"/>
      <c r="H931" s="206"/>
    </row>
    <row r="932" spans="5:8" ht="14.25" customHeight="1">
      <c r="E932" s="71"/>
      <c r="F932" s="206"/>
      <c r="G932" s="206"/>
      <c r="H932" s="206"/>
    </row>
    <row r="933" spans="5:8" ht="14.25" customHeight="1">
      <c r="E933" s="71"/>
      <c r="F933" s="206"/>
      <c r="G933" s="206"/>
      <c r="H933" s="206"/>
    </row>
    <row r="934" spans="5:8" ht="14.25" customHeight="1">
      <c r="E934" s="71"/>
      <c r="F934" s="206"/>
      <c r="G934" s="206"/>
      <c r="H934" s="206"/>
    </row>
    <row r="935" spans="5:8" ht="14.25" customHeight="1">
      <c r="E935" s="71"/>
      <c r="F935" s="206"/>
      <c r="G935" s="206"/>
      <c r="H935" s="206"/>
    </row>
    <row r="936" spans="5:8" ht="14.25" customHeight="1">
      <c r="E936" s="71"/>
      <c r="F936" s="206"/>
      <c r="G936" s="206"/>
      <c r="H936" s="206"/>
    </row>
    <row r="937" spans="5:8" ht="14.25" customHeight="1">
      <c r="E937" s="71"/>
      <c r="F937" s="206"/>
      <c r="G937" s="206"/>
      <c r="H937" s="206"/>
    </row>
    <row r="938" spans="5:8" ht="14.25" customHeight="1">
      <c r="E938" s="71"/>
      <c r="F938" s="206"/>
      <c r="G938" s="206"/>
      <c r="H938" s="206"/>
    </row>
    <row r="939" spans="5:8" ht="14.25" customHeight="1">
      <c r="E939" s="71"/>
      <c r="F939" s="206"/>
      <c r="G939" s="206"/>
      <c r="H939" s="206"/>
    </row>
    <row r="940" spans="5:8" ht="14.25" customHeight="1">
      <c r="E940" s="71"/>
      <c r="F940" s="206"/>
      <c r="G940" s="206"/>
      <c r="H940" s="206"/>
    </row>
    <row r="941" spans="5:8" ht="14.25" customHeight="1">
      <c r="E941" s="71"/>
      <c r="F941" s="206"/>
      <c r="G941" s="206"/>
      <c r="H941" s="206"/>
    </row>
    <row r="942" spans="5:8" ht="14.25" customHeight="1">
      <c r="E942" s="71"/>
      <c r="F942" s="206"/>
      <c r="G942" s="206"/>
      <c r="H942" s="206"/>
    </row>
    <row r="943" spans="5:8" ht="14.25" customHeight="1">
      <c r="E943" s="71"/>
      <c r="F943" s="206"/>
      <c r="G943" s="206"/>
      <c r="H943" s="206"/>
    </row>
    <row r="944" spans="5:8" ht="14.25" customHeight="1">
      <c r="E944" s="71"/>
      <c r="F944" s="206"/>
      <c r="G944" s="206"/>
      <c r="H944" s="206"/>
    </row>
    <row r="945" spans="5:8" ht="14.25" customHeight="1">
      <c r="E945" s="71"/>
      <c r="F945" s="206"/>
      <c r="G945" s="206"/>
      <c r="H945" s="206"/>
    </row>
    <row r="946" spans="5:8" ht="14.25" customHeight="1">
      <c r="E946" s="71"/>
      <c r="F946" s="206"/>
      <c r="G946" s="206"/>
      <c r="H946" s="206"/>
    </row>
    <row r="947" spans="5:8" ht="14.25" customHeight="1">
      <c r="E947" s="71"/>
      <c r="F947" s="206"/>
      <c r="G947" s="206"/>
      <c r="H947" s="206"/>
    </row>
    <row r="948" spans="5:8" ht="14.25" customHeight="1">
      <c r="E948" s="71"/>
      <c r="F948" s="206"/>
      <c r="G948" s="206"/>
      <c r="H948" s="206"/>
    </row>
    <row r="949" spans="5:8" ht="14.25" customHeight="1">
      <c r="E949" s="71"/>
      <c r="F949" s="206"/>
      <c r="G949" s="206"/>
      <c r="H949" s="206"/>
    </row>
    <row r="950" spans="5:8" ht="14.25" customHeight="1">
      <c r="E950" s="71"/>
      <c r="F950" s="206"/>
      <c r="G950" s="206"/>
      <c r="H950" s="206"/>
    </row>
    <row r="951" spans="5:8" ht="14.25" customHeight="1">
      <c r="E951" s="71"/>
      <c r="F951" s="206"/>
      <c r="G951" s="206"/>
      <c r="H951" s="206"/>
    </row>
    <row r="952" spans="5:8" ht="14.25" customHeight="1">
      <c r="E952" s="71"/>
      <c r="F952" s="206"/>
      <c r="G952" s="206"/>
      <c r="H952" s="206"/>
    </row>
    <row r="953" spans="5:8" ht="14.25" customHeight="1">
      <c r="E953" s="71"/>
      <c r="F953" s="206"/>
      <c r="G953" s="206"/>
      <c r="H953" s="206"/>
    </row>
    <row r="954" spans="5:8" ht="14.25" customHeight="1">
      <c r="E954" s="71"/>
      <c r="F954" s="206"/>
      <c r="G954" s="206"/>
      <c r="H954" s="206"/>
    </row>
    <row r="955" spans="5:8" ht="14.25" customHeight="1">
      <c r="E955" s="71"/>
      <c r="F955" s="206"/>
      <c r="G955" s="206"/>
      <c r="H955" s="206"/>
    </row>
    <row r="956" spans="5:8" ht="14.25" customHeight="1">
      <c r="E956" s="71"/>
      <c r="F956" s="206"/>
      <c r="G956" s="206"/>
      <c r="H956" s="206"/>
    </row>
    <row r="957" spans="5:8" ht="14.25" customHeight="1">
      <c r="E957" s="71"/>
      <c r="F957" s="206"/>
      <c r="G957" s="206"/>
      <c r="H957" s="206"/>
    </row>
    <row r="958" spans="5:8" ht="14.25" customHeight="1">
      <c r="E958" s="71"/>
      <c r="F958" s="206"/>
      <c r="G958" s="206"/>
      <c r="H958" s="206"/>
    </row>
    <row r="959" spans="5:8" ht="14.25" customHeight="1">
      <c r="E959" s="71"/>
      <c r="F959" s="206"/>
      <c r="G959" s="206"/>
      <c r="H959" s="206"/>
    </row>
    <row r="960" spans="5:8" ht="14.25" customHeight="1">
      <c r="E960" s="71"/>
      <c r="F960" s="206"/>
      <c r="G960" s="206"/>
      <c r="H960" s="206"/>
    </row>
    <row r="961" spans="5:8" ht="14.25" customHeight="1">
      <c r="E961" s="71"/>
      <c r="F961" s="206"/>
      <c r="G961" s="206"/>
      <c r="H961" s="206"/>
    </row>
    <row r="962" spans="5:8" ht="14.25" customHeight="1">
      <c r="E962" s="71"/>
      <c r="F962" s="206"/>
      <c r="G962" s="206"/>
      <c r="H962" s="206"/>
    </row>
    <row r="963" spans="5:8" ht="14.25" customHeight="1">
      <c r="E963" s="71"/>
      <c r="F963" s="206"/>
      <c r="G963" s="206"/>
      <c r="H963" s="206"/>
    </row>
    <row r="964" spans="5:8" ht="14.25" customHeight="1">
      <c r="E964" s="71"/>
      <c r="F964" s="206"/>
      <c r="G964" s="206"/>
      <c r="H964" s="206"/>
    </row>
    <row r="965" spans="5:8" ht="14.25" customHeight="1">
      <c r="E965" s="71"/>
      <c r="F965" s="206"/>
      <c r="G965" s="206"/>
      <c r="H965" s="206"/>
    </row>
    <row r="966" spans="5:8" ht="14.25" customHeight="1">
      <c r="E966" s="71"/>
      <c r="F966" s="206"/>
      <c r="G966" s="206"/>
      <c r="H966" s="206"/>
    </row>
    <row r="967" spans="5:8" ht="14.25" customHeight="1">
      <c r="E967" s="71"/>
      <c r="F967" s="206"/>
      <c r="G967" s="206"/>
      <c r="H967" s="206"/>
    </row>
    <row r="968" spans="5:8" ht="14.25" customHeight="1">
      <c r="E968" s="71"/>
      <c r="F968" s="206"/>
      <c r="G968" s="206"/>
      <c r="H968" s="206"/>
    </row>
    <row r="969" spans="5:8" ht="14.25" customHeight="1">
      <c r="E969" s="71"/>
      <c r="F969" s="206"/>
      <c r="G969" s="206"/>
      <c r="H969" s="206"/>
    </row>
    <row r="970" spans="5:8" ht="14.25" customHeight="1">
      <c r="E970" s="71"/>
      <c r="F970" s="206"/>
      <c r="G970" s="206"/>
      <c r="H970" s="206"/>
    </row>
    <row r="971" spans="5:8" ht="14.25" customHeight="1">
      <c r="E971" s="71"/>
      <c r="F971" s="206"/>
      <c r="G971" s="206"/>
      <c r="H971" s="206"/>
    </row>
    <row r="972" spans="5:8" ht="14.25" customHeight="1">
      <c r="E972" s="71"/>
      <c r="F972" s="206"/>
      <c r="G972" s="206"/>
      <c r="H972" s="206"/>
    </row>
    <row r="973" spans="5:8" ht="14.25" customHeight="1">
      <c r="E973" s="71"/>
      <c r="F973" s="206"/>
      <c r="G973" s="206"/>
      <c r="H973" s="206"/>
    </row>
    <row r="974" spans="5:8" ht="14.25" customHeight="1">
      <c r="E974" s="71"/>
      <c r="F974" s="206"/>
      <c r="G974" s="206"/>
      <c r="H974" s="206"/>
    </row>
    <row r="975" spans="5:8" ht="14.25" customHeight="1">
      <c r="E975" s="71"/>
      <c r="F975" s="206"/>
      <c r="G975" s="206"/>
      <c r="H975" s="206"/>
    </row>
    <row r="976" spans="5:8" ht="14.25" customHeight="1">
      <c r="E976" s="71"/>
      <c r="F976" s="206"/>
      <c r="G976" s="206"/>
      <c r="H976" s="206"/>
    </row>
    <row r="977" spans="5:8" ht="14.25" customHeight="1">
      <c r="E977" s="71"/>
      <c r="F977" s="206"/>
      <c r="G977" s="206"/>
      <c r="H977" s="206"/>
    </row>
    <row r="978" spans="5:8" ht="14.25" customHeight="1">
      <c r="E978" s="71"/>
      <c r="F978" s="206"/>
      <c r="G978" s="206"/>
      <c r="H978" s="206"/>
    </row>
    <row r="979" spans="5:8" ht="14.25" customHeight="1">
      <c r="E979" s="71"/>
      <c r="F979" s="206"/>
      <c r="G979" s="206"/>
      <c r="H979" s="206"/>
    </row>
    <row r="980" spans="5:8" ht="14.25" customHeight="1">
      <c r="E980" s="71"/>
      <c r="F980" s="206"/>
      <c r="G980" s="206"/>
      <c r="H980" s="206"/>
    </row>
    <row r="981" spans="5:8" ht="14.25" customHeight="1">
      <c r="E981" s="71"/>
      <c r="F981" s="206"/>
      <c r="G981" s="206"/>
      <c r="H981" s="206"/>
    </row>
    <row r="982" spans="5:8" ht="14.25" customHeight="1">
      <c r="E982" s="71"/>
      <c r="F982" s="206"/>
      <c r="G982" s="206"/>
      <c r="H982" s="206"/>
    </row>
    <row r="983" spans="5:8" ht="14.25" customHeight="1">
      <c r="E983" s="71"/>
      <c r="F983" s="206"/>
      <c r="G983" s="206"/>
      <c r="H983" s="206"/>
    </row>
    <row r="984" spans="5:8" ht="14.25" customHeight="1">
      <c r="E984" s="71"/>
      <c r="F984" s="206"/>
      <c r="G984" s="206"/>
      <c r="H984" s="206"/>
    </row>
    <row r="985" spans="5:8" ht="14.25" customHeight="1">
      <c r="E985" s="71"/>
      <c r="F985" s="206"/>
      <c r="G985" s="206"/>
      <c r="H985" s="206"/>
    </row>
    <row r="986" spans="5:8" ht="14.25" customHeight="1">
      <c r="E986" s="71"/>
      <c r="F986" s="206"/>
      <c r="G986" s="206"/>
      <c r="H986" s="206"/>
    </row>
    <row r="987" spans="5:8" ht="14.25" customHeight="1">
      <c r="E987" s="71"/>
      <c r="F987" s="206"/>
      <c r="G987" s="206"/>
      <c r="H987" s="206"/>
    </row>
    <row r="988" spans="5:8" ht="14.25" customHeight="1">
      <c r="E988" s="71"/>
      <c r="F988" s="206"/>
      <c r="G988" s="206"/>
      <c r="H988" s="206"/>
    </row>
    <row r="989" spans="5:8" ht="14.25" customHeight="1">
      <c r="E989" s="71"/>
      <c r="F989" s="206"/>
      <c r="G989" s="206"/>
      <c r="H989" s="206"/>
    </row>
    <row r="990" spans="5:8" ht="14.25" customHeight="1">
      <c r="E990" s="71"/>
      <c r="F990" s="206"/>
      <c r="G990" s="206"/>
      <c r="H990" s="206"/>
    </row>
    <row r="991" spans="5:8" ht="14.25" customHeight="1">
      <c r="E991" s="71"/>
      <c r="F991" s="206"/>
      <c r="G991" s="206"/>
      <c r="H991" s="206"/>
    </row>
    <row r="992" spans="5:8" ht="14.25" customHeight="1">
      <c r="E992" s="71"/>
      <c r="F992" s="206"/>
      <c r="G992" s="206"/>
      <c r="H992" s="206"/>
    </row>
    <row r="993" spans="5:8" ht="14.25" customHeight="1">
      <c r="E993" s="71"/>
      <c r="F993" s="206"/>
      <c r="G993" s="206"/>
      <c r="H993" s="206"/>
    </row>
    <row r="994" spans="5:8" ht="14.25" customHeight="1">
      <c r="E994" s="71"/>
      <c r="F994" s="206"/>
      <c r="G994" s="206"/>
      <c r="H994" s="206"/>
    </row>
    <row r="995" spans="5:8" ht="14.25" customHeight="1">
      <c r="E995" s="71"/>
      <c r="F995" s="206"/>
      <c r="G995" s="206"/>
      <c r="H995" s="206"/>
    </row>
    <row r="996" spans="5:8" ht="14.25" customHeight="1">
      <c r="E996" s="71"/>
      <c r="F996" s="206"/>
      <c r="G996" s="206"/>
      <c r="H996" s="206"/>
    </row>
    <row r="997" spans="5:8" ht="14.25" customHeight="1">
      <c r="E997" s="71"/>
      <c r="F997" s="206"/>
      <c r="G997" s="206"/>
      <c r="H997" s="206"/>
    </row>
    <row r="998" spans="5:8" ht="14.25" customHeight="1">
      <c r="E998" s="71"/>
      <c r="F998" s="206"/>
      <c r="G998" s="206"/>
      <c r="H998" s="206"/>
    </row>
    <row r="999" spans="5:8" ht="14.25" customHeight="1">
      <c r="E999" s="71"/>
      <c r="F999" s="206"/>
      <c r="G999" s="206"/>
      <c r="H999" s="206"/>
    </row>
    <row r="1000" spans="5:8" ht="14.25" customHeight="1">
      <c r="E1000" s="71"/>
      <c r="F1000" s="206"/>
      <c r="G1000" s="206"/>
      <c r="H1000" s="206"/>
    </row>
    <row r="1001" spans="5:8" ht="14.25" customHeight="1">
      <c r="E1001" s="71"/>
      <c r="F1001" s="206"/>
      <c r="G1001" s="206"/>
      <c r="H1001" s="206"/>
    </row>
  </sheetData>
  <mergeCells count="5">
    <mergeCell ref="D4:D6"/>
    <mergeCell ref="D7:D9"/>
    <mergeCell ref="D10:D12"/>
    <mergeCell ref="D13:D15"/>
    <mergeCell ref="D1:J1"/>
  </mergeCells>
  <pageMargins left="0.7" right="0.7" top="0.75" bottom="0.75" header="0" footer="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882D-F0AE-4393-A892-DF24A53BAC49}">
  <sheetPr codeName="Folha18"/>
  <dimension ref="A1:AA1001"/>
  <sheetViews>
    <sheetView showGridLines="0" zoomScale="80" zoomScaleNormal="80" workbookViewId="0">
      <selection sqref="A1:O1"/>
    </sheetView>
  </sheetViews>
  <sheetFormatPr defaultColWidth="14.44140625" defaultRowHeight="15" customHeight="1"/>
  <cols>
    <col min="1" max="1" width="14.44140625" customWidth="1"/>
    <col min="2" max="3" width="24.44140625" customWidth="1"/>
    <col min="4" max="4" width="8.6640625" customWidth="1"/>
    <col min="5" max="6" width="24.33203125" customWidth="1"/>
    <col min="7" max="7" width="8.6640625" customWidth="1"/>
    <col min="8" max="9" width="24.44140625" customWidth="1"/>
    <col min="10" max="10" width="8.6640625" customWidth="1"/>
    <col min="11" max="12" width="24.109375" customWidth="1"/>
    <col min="13" max="27" width="8.6640625" customWidth="1"/>
  </cols>
  <sheetData>
    <row r="1" spans="1:27" ht="77.400000000000006" customHeight="1">
      <c r="A1" s="230" t="s">
        <v>147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</row>
    <row r="2" spans="1:27" ht="14.25" customHeight="1"/>
    <row r="3" spans="1:27" ht="23.25" customHeight="1">
      <c r="B3" s="254" t="s">
        <v>130</v>
      </c>
      <c r="C3" s="255"/>
      <c r="E3" s="254" t="s">
        <v>134</v>
      </c>
      <c r="F3" s="255"/>
      <c r="H3" s="254" t="s">
        <v>138</v>
      </c>
      <c r="I3" s="255"/>
      <c r="K3" s="254" t="s">
        <v>142</v>
      </c>
      <c r="L3" s="255"/>
    </row>
    <row r="4" spans="1:27" ht="21.75" customHeight="1">
      <c r="B4" s="256" t="s">
        <v>72</v>
      </c>
      <c r="C4" s="224"/>
      <c r="D4" s="9"/>
      <c r="E4" s="257" t="s">
        <v>72</v>
      </c>
      <c r="F4" s="224"/>
      <c r="G4" s="9"/>
      <c r="H4" s="258" t="s">
        <v>72</v>
      </c>
      <c r="I4" s="224"/>
      <c r="J4" s="9"/>
      <c r="K4" s="259" t="s">
        <v>72</v>
      </c>
      <c r="L4" s="22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B5" s="10" t="s">
        <v>131</v>
      </c>
      <c r="C5" s="5" cm="1">
        <f t="array" ref="C5">SUMPRODUCT((MONTH(Fat_Jan[Data])=1)*(Fat_Jan[Tipologia]="Produtos")*(Fat_Jan[Base]))</f>
        <v>0</v>
      </c>
      <c r="E5" s="207" t="s">
        <v>135</v>
      </c>
      <c r="F5" s="4" cm="1">
        <f t="array" ref="F5">SUMPRODUCT((MONTH(Fat_Abr[Data])=4)*(Fat_Abr[Tipologia]="Produtos")*(Fat_Abr[Base]))</f>
        <v>0</v>
      </c>
      <c r="H5" s="207" t="s">
        <v>139</v>
      </c>
      <c r="I5" s="4" cm="1">
        <f t="array" ref="I5">SUMPRODUCT((MONTH(Fat_Jul[Data])=7)*(Fat_Jul[Tipologia]="Produtos")*(Fat_Jul[Base]))</f>
        <v>0</v>
      </c>
      <c r="K5" s="206" t="s">
        <v>143</v>
      </c>
      <c r="L5" s="6" cm="1">
        <f t="array" ref="L5">SUMPRODUCT((MONTH(Fat_Out[Data])=10)*(Fat_Out[Tipologia]="Produtos")*(Fat_Out[Base]))</f>
        <v>0</v>
      </c>
    </row>
    <row r="6" spans="1:27" ht="14.25" customHeight="1">
      <c r="B6" s="11" t="s">
        <v>132</v>
      </c>
      <c r="C6" s="7" cm="1">
        <f t="array" ref="C6">SUMPRODUCT((MONTH(Fat_Fev[Data])=2)*(Fat_Fev[Tipologia]="Produtos")*(Fat_Fev[Base]))</f>
        <v>0</v>
      </c>
      <c r="E6" s="206" t="s">
        <v>136</v>
      </c>
      <c r="F6" s="6" cm="1">
        <f t="array" ref="F6">SUMPRODUCT((MONTH(Fat_Mai[Data])=5)*(Fat_Mai[Tipologia]="Produtos")*(Fat_Mai[Base]))</f>
        <v>0</v>
      </c>
      <c r="H6" s="206" t="s">
        <v>140</v>
      </c>
      <c r="I6" s="6" cm="1">
        <f t="array" ref="I6">SUMPRODUCT((MONTH(Fat_Ago[Data])=8)*(Fat_Ago[Tipologia]="Produtos")*(Fat_Ago[Base]))</f>
        <v>0</v>
      </c>
      <c r="K6" s="206" t="s">
        <v>144</v>
      </c>
      <c r="L6" s="6" cm="1">
        <f t="array" ref="L6">SUMPRODUCT((MONTH(Fat_Nov[Data])=11)*(Fat_Nov[Tipologia]="Produtos")*(Fat_Nov[Base]))</f>
        <v>0</v>
      </c>
    </row>
    <row r="7" spans="1:27" ht="14.25" customHeight="1">
      <c r="B7" s="12" t="s">
        <v>133</v>
      </c>
      <c r="C7" s="8" cm="1">
        <f t="array" ref="C7">SUMPRODUCT((MONTH(Fat_Mar[Data])=3)*(Fat_Mar[Tipologia]="Produtos")*(Fat_Mar[Base]))</f>
        <v>0</v>
      </c>
      <c r="E7" s="24" t="s">
        <v>137</v>
      </c>
      <c r="F7" s="25" cm="1">
        <f t="array" ref="F7">SUMPRODUCT((MONTH(Fat_Jun[Data])=6)*(Fat_Jun[Tipologia]="Produtos")*(Fat_Jun[Base]))</f>
        <v>0</v>
      </c>
      <c r="H7" s="24" t="s">
        <v>141</v>
      </c>
      <c r="I7" s="25" cm="1">
        <f t="array" ref="I7">SUMPRODUCT((MONTH(Fat_Set[Data])=9)*(Fat_Set[Tipologia]="Produtos")*(Fat_Set[Base]))</f>
        <v>0</v>
      </c>
      <c r="K7" s="24" t="s">
        <v>145</v>
      </c>
      <c r="L7" s="25" cm="1">
        <f t="array" ref="L7">SUMPRODUCT((MONTH(Fat_Dez[Data])=12)*(Fat_Dez[Tipologia]="Produtos")*(Fat_Dez[Base]))</f>
        <v>0</v>
      </c>
    </row>
    <row r="8" spans="1:27" ht="14.25" customHeight="1">
      <c r="B8" s="13" t="s">
        <v>71</v>
      </c>
      <c r="C8" s="14">
        <f>SUM(C5:C7)</f>
        <v>0</v>
      </c>
      <c r="D8" s="15"/>
      <c r="E8" s="13" t="s">
        <v>71</v>
      </c>
      <c r="F8" s="14">
        <f>SUM(F5:F7)</f>
        <v>0</v>
      </c>
      <c r="G8" s="15"/>
      <c r="H8" s="13" t="s">
        <v>71</v>
      </c>
      <c r="I8" s="14">
        <f>SUM(I5:I7)</f>
        <v>0</v>
      </c>
      <c r="J8" s="15"/>
      <c r="K8" s="13" t="s">
        <v>71</v>
      </c>
      <c r="L8" s="14">
        <f>SUM(L5:L7)</f>
        <v>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4.25" customHeight="1">
      <c r="B9" s="251" t="str">
        <f>"Entrega da declaração trimestral até "&amp;TEXT(Auxiliar1!C5,"dd/mm")</f>
        <v>Entrega da declaração trimestral até 30/04</v>
      </c>
      <c r="C9" s="252"/>
      <c r="E9" s="251" t="str">
        <f>"Entrega da declaração trimestral até "&amp;TEXT(Auxiliar1!C6,"dd/mm")</f>
        <v>Entrega da declaração trimestral até 31/07</v>
      </c>
      <c r="F9" s="252"/>
      <c r="H9" s="251" t="str">
        <f>"Entrega da declaração trimestral até "&amp;TEXT(Auxiliar1!C7,"dd/mm")</f>
        <v>Entrega da declaração trimestral até 31/10</v>
      </c>
      <c r="I9" s="252"/>
      <c r="K9" s="251" t="str">
        <f>"Entrega da declaração trimestral até "&amp;TEXT(Auxiliar1!C8,"dd/mm")</f>
        <v>Entrega da declaração trimestral até 31/01</v>
      </c>
      <c r="L9" s="252"/>
    </row>
    <row r="10" spans="1:27" ht="14.25" customHeight="1"/>
    <row r="11" spans="1:27" ht="14.25" customHeight="1"/>
    <row r="12" spans="1:27" ht="14.25" customHeight="1">
      <c r="B12" s="10" t="str">
        <f>"Pagar até "&amp;TEXT(Auxiliar1!C12,"dd/mm")</f>
        <v>Pagar até 05/01</v>
      </c>
      <c r="C12" s="16">
        <f>+IF(C8*Auxiliar1!D17*Auxiliar1!D18/3&lt;Auxiliar1!C20,Auxiliar1!C20,C8*Auxiliar1!D17*Auxiliar1!D18/3)</f>
        <v>20</v>
      </c>
      <c r="E12" s="10" t="str">
        <f>"Pagar até "&amp;TEXT(Auxiliar1!D12,"dd/mm")</f>
        <v>Pagar até 05/02</v>
      </c>
      <c r="F12" s="16">
        <f>+IF(F8*Auxiliar1!D17*Auxiliar1!D18/3&lt;Auxiliar1!C20,Auxiliar1!C20,F8*Auxiliar1!D17*Auxiliar1!D18/3)</f>
        <v>20</v>
      </c>
      <c r="H12" s="10" t="str">
        <f>"Pagar até "&amp;TEXT(Auxiliar1!E12,"dd/mm")</f>
        <v>Pagar até 05/03</v>
      </c>
      <c r="I12" s="16">
        <f>+IF(I8*Auxiliar1!D17*Auxiliar1!D18/3&lt;Auxiliar1!C20,Auxiliar1!C20,I8*Auxiliar1!D17*Auxiliar1!D18/3)</f>
        <v>20</v>
      </c>
      <c r="K12" s="10" t="str">
        <f>"Pagar até "&amp;TEXT(Auxiliar1!F12,"dd/mm")</f>
        <v>Pagar até 05/04</v>
      </c>
      <c r="L12" s="16">
        <f>+IF(L8*Auxiliar1!D17*Auxiliar1!D18/3&lt;Auxiliar1!C20,Auxiliar1!C20,L8*Auxiliar1!D17*Auxiliar1!D18/3)</f>
        <v>20</v>
      </c>
    </row>
    <row r="13" spans="1:27" ht="14.25" customHeight="1">
      <c r="B13" s="11" t="str">
        <f>"Pagar até "&amp;TEXT(Auxiliar1!C13,"dd/mm")</f>
        <v>Pagar até 20/01</v>
      </c>
      <c r="C13" s="1">
        <f t="shared" ref="C13:C14" si="0">+C12</f>
        <v>20</v>
      </c>
      <c r="E13" s="11" t="str">
        <f>"Pagar até "&amp;TEXT(Auxiliar1!D13,"dd/mm")</f>
        <v>Pagar até 20/02</v>
      </c>
      <c r="F13" s="1">
        <f t="shared" ref="F13:F14" si="1">+F12</f>
        <v>20</v>
      </c>
      <c r="H13" s="11" t="str">
        <f>"Pagar até "&amp;TEXT(Auxiliar1!E13,"dd/mm")</f>
        <v>Pagar até 20/03</v>
      </c>
      <c r="I13" s="1">
        <f t="shared" ref="I13:I14" si="2">+I12</f>
        <v>20</v>
      </c>
      <c r="K13" s="11" t="str">
        <f>"Pagar até "&amp;TEXT(Auxiliar1!F13,"dd/mm")</f>
        <v>Pagar até 20/04</v>
      </c>
      <c r="L13" s="1">
        <f t="shared" ref="L13:L14" si="3">+L12</f>
        <v>20</v>
      </c>
    </row>
    <row r="14" spans="1:27" ht="14.25" customHeight="1">
      <c r="B14" s="12" t="str">
        <f>"Pagar até "&amp;TEXT(Auxiliar1!C14,"dd/mm")</f>
        <v>Pagar até 20/07</v>
      </c>
      <c r="C14" s="17">
        <f t="shared" si="0"/>
        <v>20</v>
      </c>
      <c r="E14" s="12" t="str">
        <f>"Pagar até "&amp;TEXT(Auxiliar1!D14,"dd/mm")</f>
        <v>Pagar até 20/10</v>
      </c>
      <c r="F14" s="17">
        <f t="shared" si="1"/>
        <v>20</v>
      </c>
      <c r="H14" s="12" t="str">
        <f>"Pagar até "&amp;TEXT(Auxiliar1!E14,"dd/mm")</f>
        <v>Pagar até 20/01</v>
      </c>
      <c r="I14" s="17">
        <f t="shared" si="2"/>
        <v>20</v>
      </c>
      <c r="K14" s="12" t="str">
        <f>"Pagar até "&amp;TEXT(Auxiliar1!F14,"dd/mm")</f>
        <v>Pagar até 20/04</v>
      </c>
      <c r="L14" s="17">
        <f t="shared" si="3"/>
        <v>20</v>
      </c>
    </row>
    <row r="15" spans="1:27" ht="14.25" customHeight="1">
      <c r="B15" s="206"/>
    </row>
    <row r="16" spans="1:27" ht="14.25" customHeight="1">
      <c r="B16" s="253" t="s">
        <v>148</v>
      </c>
      <c r="C16" s="252"/>
      <c r="E16" s="253" t="s">
        <v>148</v>
      </c>
      <c r="F16" s="252"/>
      <c r="H16" s="253" t="s">
        <v>148</v>
      </c>
      <c r="I16" s="252"/>
      <c r="K16" s="253" t="s">
        <v>148</v>
      </c>
      <c r="L16" s="252"/>
    </row>
    <row r="17" spans="2:12" ht="14.25" customHeight="1">
      <c r="B17" s="252"/>
      <c r="C17" s="252"/>
      <c r="E17" s="252"/>
      <c r="F17" s="252"/>
      <c r="H17" s="252"/>
      <c r="I17" s="252"/>
      <c r="K17" s="252"/>
      <c r="L17" s="252"/>
    </row>
    <row r="18" spans="2:12" ht="14.25" customHeight="1">
      <c r="B18" s="252"/>
      <c r="C18" s="252"/>
      <c r="E18" s="252"/>
      <c r="F18" s="252"/>
      <c r="H18" s="252"/>
      <c r="I18" s="252"/>
      <c r="K18" s="252"/>
      <c r="L18" s="252"/>
    </row>
    <row r="19" spans="2:12" ht="14.25" customHeight="1"/>
    <row r="20" spans="2:12" ht="14.25" customHeight="1"/>
    <row r="21" spans="2:12" ht="14.25" customHeight="1"/>
    <row r="22" spans="2:12" ht="14.25" customHeight="1"/>
    <row r="23" spans="2:12" ht="14.25" customHeight="1"/>
    <row r="24" spans="2:12" ht="14.25" customHeight="1"/>
    <row r="25" spans="2:12" ht="14.25" customHeight="1"/>
    <row r="26" spans="2:12" ht="14.25" customHeight="1"/>
    <row r="27" spans="2:12" ht="14.25" customHeight="1"/>
    <row r="28" spans="2:12" ht="14.25" customHeight="1"/>
    <row r="29" spans="2:12" ht="14.25" customHeight="1"/>
    <row r="30" spans="2:12" ht="14.25" customHeight="1"/>
    <row r="31" spans="2:12" ht="14.25" customHeight="1"/>
    <row r="32" spans="2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sheetProtection algorithmName="SHA-512" hashValue="mgV7+D/i0Zjq+MwJV5FjpZCQN/S5JRRN8ZpmO1iqLcnREk3f8v1jzt8bnB9LAH88KowAQOWYGr4pZMcuFdXV1w==" saltValue="KwC3iuX8gSOf2D2KLAkAKA==" spinCount="100000" sheet="1" objects="1" scenarios="1"/>
  <mergeCells count="17">
    <mergeCell ref="B16:C18"/>
    <mergeCell ref="E16:F18"/>
    <mergeCell ref="H16:I18"/>
    <mergeCell ref="K16:L18"/>
    <mergeCell ref="B3:C3"/>
    <mergeCell ref="E3:F3"/>
    <mergeCell ref="H3:I3"/>
    <mergeCell ref="K3:L3"/>
    <mergeCell ref="B4:C4"/>
    <mergeCell ref="E4:F4"/>
    <mergeCell ref="H4:I4"/>
    <mergeCell ref="K4:L4"/>
    <mergeCell ref="A1:O1"/>
    <mergeCell ref="B9:C9"/>
    <mergeCell ref="E9:F9"/>
    <mergeCell ref="H9:I9"/>
    <mergeCell ref="K9:L9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lha19"/>
  <dimension ref="A1:AA1001"/>
  <sheetViews>
    <sheetView showGridLines="0" zoomScale="80" zoomScaleNormal="80" workbookViewId="0">
      <selection sqref="A1:O1"/>
    </sheetView>
  </sheetViews>
  <sheetFormatPr defaultColWidth="14.44140625" defaultRowHeight="15" customHeight="1"/>
  <cols>
    <col min="1" max="1" width="14.44140625" customWidth="1"/>
    <col min="2" max="3" width="24.44140625" customWidth="1"/>
    <col min="4" max="4" width="8.6640625" customWidth="1"/>
    <col min="5" max="6" width="24.33203125" customWidth="1"/>
    <col min="7" max="7" width="8.6640625" customWidth="1"/>
    <col min="8" max="9" width="24.44140625" customWidth="1"/>
    <col min="10" max="10" width="8.6640625" customWidth="1"/>
    <col min="11" max="12" width="24.109375" customWidth="1"/>
    <col min="13" max="27" width="8.6640625" customWidth="1"/>
  </cols>
  <sheetData>
    <row r="1" spans="1:27" ht="77.400000000000006" customHeight="1">
      <c r="A1" s="230" t="s">
        <v>149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</row>
    <row r="2" spans="1:27" ht="14.25" customHeight="1"/>
    <row r="3" spans="1:27" ht="23.25" customHeight="1">
      <c r="B3" s="254" t="s">
        <v>130</v>
      </c>
      <c r="C3" s="255"/>
      <c r="E3" s="254" t="s">
        <v>134</v>
      </c>
      <c r="F3" s="255"/>
      <c r="H3" s="254" t="s">
        <v>138</v>
      </c>
      <c r="I3" s="255"/>
      <c r="K3" s="254" t="s">
        <v>142</v>
      </c>
      <c r="L3" s="255"/>
    </row>
    <row r="4" spans="1:27" ht="21.75" customHeight="1">
      <c r="B4" s="256" t="s">
        <v>72</v>
      </c>
      <c r="C4" s="224"/>
      <c r="D4" s="9"/>
      <c r="E4" s="257" t="s">
        <v>72</v>
      </c>
      <c r="F4" s="224"/>
      <c r="G4" s="9"/>
      <c r="H4" s="258" t="s">
        <v>72</v>
      </c>
      <c r="I4" s="224"/>
      <c r="J4" s="9"/>
      <c r="K4" s="259" t="s">
        <v>72</v>
      </c>
      <c r="L4" s="224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ht="14.25" customHeight="1">
      <c r="B5" s="10" t="s">
        <v>131</v>
      </c>
      <c r="C5" s="5" cm="1">
        <f t="array" ref="C5">SUMPRODUCT((MONTH(Fat_Jan[Data])=1)*(Fat_Jan[Tipologia]="Serviços")*(Fat_Jan[Base]))</f>
        <v>1586.5</v>
      </c>
      <c r="E5" s="207" t="s">
        <v>135</v>
      </c>
      <c r="F5" s="4" cm="1">
        <f t="array" ref="F5">SUMPRODUCT((MONTH(Fat_Abr[Data])=4)*(Fat_Abr[Tipologia]="Serviços")*(Fat_Abr[Base]))</f>
        <v>2014</v>
      </c>
      <c r="H5" s="207" t="s">
        <v>139</v>
      </c>
      <c r="I5" s="4" cm="1">
        <f t="array" ref="I5">SUMPRODUCT((MONTH(Fat_Jul[Data])=7)*(Fat_Jul[Tipologia]="Serviços")*(Fat_Jul[Base]))</f>
        <v>6620</v>
      </c>
      <c r="K5" s="206" t="s">
        <v>143</v>
      </c>
      <c r="L5" s="6" cm="1">
        <f t="array" ref="L5">SUMPRODUCT((MONTH(Fat_Out[Data])=10)*(Fat_Out[Tipologia]="Serviços")*(Fat_Out[Base]))</f>
        <v>0</v>
      </c>
    </row>
    <row r="6" spans="1:27" ht="14.25" customHeight="1">
      <c r="B6" s="11" t="s">
        <v>132</v>
      </c>
      <c r="C6" s="7" cm="1">
        <f t="array" ref="C6">SUMPRODUCT((MONTH(Fat_Fev[Data])=2)*(Fat_Fev[Tipologia]="Serviços")*(Fat_Fev[Base]))</f>
        <v>1084</v>
      </c>
      <c r="E6" s="206" t="s">
        <v>136</v>
      </c>
      <c r="F6" s="6" cm="1">
        <f t="array" ref="F6">SUMPRODUCT((MONTH(Fat_Mai[Data])=5)*(Fat_Mai[Tipologia]="Serviços")*(Fat_Mai[Base]))</f>
        <v>2913</v>
      </c>
      <c r="H6" s="206" t="s">
        <v>140</v>
      </c>
      <c r="I6" s="6" cm="1">
        <f t="array" ref="I6">SUMPRODUCT((MONTH(Fat_Ago[Data])=8)*(Fat_Ago[Tipologia]="Serviços")*(Fat_Ago[Base]))</f>
        <v>2422.5</v>
      </c>
      <c r="K6" s="206" t="s">
        <v>144</v>
      </c>
      <c r="L6" s="6" cm="1">
        <f t="array" ref="L6">SUMPRODUCT((MONTH(Fat_Nov[Data])=11)*(Fat_Nov[Tipologia]="Serviços")*(Fat_Nov[Base]))</f>
        <v>2248.6399999999994</v>
      </c>
    </row>
    <row r="7" spans="1:27" ht="14.25" customHeight="1">
      <c r="B7" s="12" t="s">
        <v>133</v>
      </c>
      <c r="C7" s="8" cm="1">
        <f t="array" ref="C7">SUMPRODUCT((MONTH(Fat_Mar[Data])=3)*(Fat_Mar[Tipologia]="Serviços")*(Fat_Mar[Base]))</f>
        <v>1360.5</v>
      </c>
      <c r="E7" s="24" t="s">
        <v>137</v>
      </c>
      <c r="F7" s="25" cm="1">
        <f t="array" ref="F7">SUMPRODUCT((MONTH(Fat_Jun[Data])=6)*(Fat_Jun[Tipologia]="Serviços")*(Fat_Jun[Base]))</f>
        <v>2355</v>
      </c>
      <c r="H7" s="24" t="s">
        <v>141</v>
      </c>
      <c r="I7" s="25" cm="1">
        <f t="array" ref="I7">SUMPRODUCT((MONTH(Fat_Set[Data])=9)*(Fat_Set[Tipologia]="Serviços")*(Fat_Set[Base]))</f>
        <v>0</v>
      </c>
      <c r="K7" s="24" t="s">
        <v>145</v>
      </c>
      <c r="L7" s="25" cm="1">
        <f t="array" ref="L7">SUMPRODUCT((MONTH(Fat_Dez[Data])=12)*(Fat_Dez[Tipologia]="Serviços")*(Fat_Dez[Base]))</f>
        <v>4795.8599999999997</v>
      </c>
    </row>
    <row r="8" spans="1:27" ht="14.25" customHeight="1">
      <c r="B8" s="13" t="s">
        <v>71</v>
      </c>
      <c r="C8" s="14">
        <f>SUM(C5:C7)</f>
        <v>4031</v>
      </c>
      <c r="D8" s="15"/>
      <c r="E8" s="13" t="s">
        <v>71</v>
      </c>
      <c r="F8" s="14">
        <f>SUM(F5:F7)</f>
        <v>7282</v>
      </c>
      <c r="G8" s="15"/>
      <c r="H8" s="13" t="s">
        <v>71</v>
      </c>
      <c r="I8" s="14">
        <f>SUM(I5:I7)</f>
        <v>9042.5</v>
      </c>
      <c r="J8" s="15"/>
      <c r="K8" s="13" t="s">
        <v>71</v>
      </c>
      <c r="L8" s="14">
        <f>SUM(L5:L7)</f>
        <v>7044.4999999999991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4.25" customHeight="1">
      <c r="B9" s="251" t="str">
        <f>"Entrega da declaração trimestral até "&amp;TEXT(Auxiliar1!C5,"dd/mm")</f>
        <v>Entrega da declaração trimestral até 30/04</v>
      </c>
      <c r="C9" s="252"/>
      <c r="E9" s="251" t="str">
        <f>"Entrega da declaração trimestral até "&amp;TEXT(Auxiliar1!C6,"dd/mm")</f>
        <v>Entrega da declaração trimestral até 31/07</v>
      </c>
      <c r="F9" s="252"/>
      <c r="H9" s="251" t="str">
        <f>"Entrega da declaração trimestral até "&amp;TEXT(Auxiliar1!C7,"dd/mm")</f>
        <v>Entrega da declaração trimestral até 31/10</v>
      </c>
      <c r="I9" s="252"/>
      <c r="K9" s="251" t="str">
        <f>"Entrega da declaração trimestral até "&amp;TEXT(Auxiliar1!C8,"dd/mm")</f>
        <v>Entrega da declaração trimestral até 31/01</v>
      </c>
      <c r="L9" s="252"/>
    </row>
    <row r="10" spans="1:27" ht="14.25" customHeight="1"/>
    <row r="11" spans="1:27" ht="14.25" customHeight="1"/>
    <row r="12" spans="1:27" ht="14.25" customHeight="1">
      <c r="B12" s="10" t="str">
        <f>"Pagar até "&amp;TEXT(Auxiliar1!C12,"dd/mm")</f>
        <v>Pagar até 05/01</v>
      </c>
      <c r="C12" s="16">
        <f>+IF(C8*Auxiliar1!C17*Auxiliar1!C18/3&lt;Auxiliar1!C20,Auxiliar1!C20,C8*Auxiliar1!C17*Auxiliar1!C18/3)</f>
        <v>201.28126666666665</v>
      </c>
      <c r="E12" s="10" t="str">
        <f>"Pagar até "&amp;TEXT(Auxiliar1!D12,"dd/mm")</f>
        <v>Pagar até 05/02</v>
      </c>
      <c r="F12" s="16">
        <f>+IF(F8*Auxiliar1!C17*Auxiliar1!C18/3&lt;Auxiliar1!C20,Auxiliar1!C20,F8*Auxiliar1!C17*Auxiliar1!C18/3)</f>
        <v>363.61453333333333</v>
      </c>
      <c r="H12" s="10" t="str">
        <f>"Pagar até "&amp;TEXT(Auxiliar1!E12,"dd/mm")</f>
        <v>Pagar até 05/03</v>
      </c>
      <c r="I12" s="16">
        <f>+IF(I8*Auxiliar1!C17*Auxiliar1!C18/3&lt;Auxiliar1!C20,Auxiliar1!C20,I8*Auxiliar1!C17*Auxiliar1!C18/3)</f>
        <v>451.52216666666664</v>
      </c>
      <c r="K12" s="10" t="str">
        <f>"Pagar até "&amp;TEXT(Auxiliar1!F12,"dd/mm")</f>
        <v>Pagar até 05/04</v>
      </c>
      <c r="L12" s="16">
        <f>+IF(L8*Auxiliar1!C17*Auxiliar1!C18/3&lt;Auxiliar1!C20,Auxiliar1!C20,L8*Auxiliar1!C17*Auxiliar1!C18/3)</f>
        <v>351.75536666666653</v>
      </c>
    </row>
    <row r="13" spans="1:27" ht="14.25" customHeight="1">
      <c r="B13" s="11" t="str">
        <f>"Pagar até "&amp;TEXT(Auxiliar1!C13,"dd/mm")</f>
        <v>Pagar até 20/01</v>
      </c>
      <c r="C13" s="1">
        <f t="shared" ref="C13:C14" si="0">+C12</f>
        <v>201.28126666666665</v>
      </c>
      <c r="E13" s="11" t="str">
        <f>"Pagar até "&amp;TEXT(Auxiliar1!D13,"dd/mm")</f>
        <v>Pagar até 20/02</v>
      </c>
      <c r="F13" s="1">
        <f t="shared" ref="F13:F14" si="1">+F12</f>
        <v>363.61453333333333</v>
      </c>
      <c r="H13" s="11" t="str">
        <f>"Pagar até "&amp;TEXT(Auxiliar1!E13,"dd/mm")</f>
        <v>Pagar até 20/03</v>
      </c>
      <c r="I13" s="1">
        <f t="shared" ref="I13:I14" si="2">+I12</f>
        <v>451.52216666666664</v>
      </c>
      <c r="K13" s="11" t="str">
        <f>"Pagar até "&amp;TEXT(Auxiliar1!F13,"dd/mm")</f>
        <v>Pagar até 20/04</v>
      </c>
      <c r="L13" s="1">
        <f t="shared" ref="L13:L14" si="3">+L12</f>
        <v>351.75536666666653</v>
      </c>
    </row>
    <row r="14" spans="1:27" ht="14.25" customHeight="1">
      <c r="B14" s="12" t="str">
        <f>"Pagar até "&amp;TEXT(Auxiliar1!C14,"dd/mm")</f>
        <v>Pagar até 20/07</v>
      </c>
      <c r="C14" s="17">
        <f t="shared" si="0"/>
        <v>201.28126666666665</v>
      </c>
      <c r="E14" s="12" t="str">
        <f>"Pagar até "&amp;TEXT(Auxiliar1!D14,"dd/mm")</f>
        <v>Pagar até 20/10</v>
      </c>
      <c r="F14" s="17">
        <f t="shared" si="1"/>
        <v>363.61453333333333</v>
      </c>
      <c r="H14" s="12" t="str">
        <f>"Pagar até "&amp;TEXT(Auxiliar1!E14,"dd/mm")</f>
        <v>Pagar até 20/01</v>
      </c>
      <c r="I14" s="17">
        <f t="shared" si="2"/>
        <v>451.52216666666664</v>
      </c>
      <c r="K14" s="12" t="str">
        <f>"Pagar até "&amp;TEXT(Auxiliar1!F14,"dd/mm")</f>
        <v>Pagar até 20/04</v>
      </c>
      <c r="L14" s="17">
        <f t="shared" si="3"/>
        <v>351.75536666666653</v>
      </c>
    </row>
    <row r="15" spans="1:27" ht="14.25" customHeight="1">
      <c r="B15" s="206"/>
    </row>
    <row r="16" spans="1:27" ht="14.25" customHeight="1">
      <c r="B16" s="253" t="s">
        <v>148</v>
      </c>
      <c r="C16" s="252"/>
      <c r="E16" s="253" t="s">
        <v>148</v>
      </c>
      <c r="F16" s="252"/>
      <c r="H16" s="253" t="s">
        <v>148</v>
      </c>
      <c r="I16" s="252"/>
      <c r="K16" s="253" t="s">
        <v>148</v>
      </c>
      <c r="L16" s="252"/>
    </row>
    <row r="17" spans="2:12" ht="14.25" customHeight="1">
      <c r="B17" s="252"/>
      <c r="C17" s="252"/>
      <c r="E17" s="252"/>
      <c r="F17" s="252"/>
      <c r="H17" s="252"/>
      <c r="I17" s="252"/>
      <c r="K17" s="252"/>
      <c r="L17" s="252"/>
    </row>
    <row r="18" spans="2:12" ht="14.25" customHeight="1">
      <c r="B18" s="252"/>
      <c r="C18" s="252"/>
      <c r="E18" s="252"/>
      <c r="F18" s="252"/>
      <c r="H18" s="252"/>
      <c r="I18" s="252"/>
      <c r="K18" s="252"/>
      <c r="L18" s="252"/>
    </row>
    <row r="19" spans="2:12" ht="14.25" customHeight="1"/>
    <row r="20" spans="2:12" ht="14.25" customHeight="1"/>
    <row r="21" spans="2:12" ht="14.25" customHeight="1"/>
    <row r="22" spans="2:12" ht="14.25" customHeight="1"/>
    <row r="23" spans="2:12" ht="14.25" customHeight="1"/>
    <row r="24" spans="2:12" ht="14.25" customHeight="1"/>
    <row r="25" spans="2:12" ht="14.25" customHeight="1"/>
    <row r="26" spans="2:12" ht="14.25" customHeight="1"/>
    <row r="27" spans="2:12" ht="14.25" customHeight="1"/>
    <row r="28" spans="2:12" ht="14.25" customHeight="1"/>
    <row r="29" spans="2:12" ht="14.25" customHeight="1"/>
    <row r="30" spans="2:12" ht="14.25" customHeight="1"/>
    <row r="31" spans="2:12" ht="14.25" customHeight="1"/>
    <row r="32" spans="2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sheetProtection algorithmName="SHA-512" hashValue="N4Fa+POQ527PcERHR5WUtTWfgoJAirD8OUW4xc3LUUGgQwG3FSD1qKa/hH0rJBituW6ge62o3sp0V8Vw6KPuig==" saltValue="hq4wwparlJoE3tzeqiKnzg==" spinCount="100000" sheet="1" objects="1" scenarios="1"/>
  <mergeCells count="17">
    <mergeCell ref="H16:I18"/>
    <mergeCell ref="K16:L18"/>
    <mergeCell ref="B4:C4"/>
    <mergeCell ref="B9:C9"/>
    <mergeCell ref="E9:F9"/>
    <mergeCell ref="H9:I9"/>
    <mergeCell ref="K9:L9"/>
    <mergeCell ref="B16:C18"/>
    <mergeCell ref="E16:F18"/>
    <mergeCell ref="K3:L3"/>
    <mergeCell ref="E4:F4"/>
    <mergeCell ref="H4:I4"/>
    <mergeCell ref="K4:L4"/>
    <mergeCell ref="A1:O1"/>
    <mergeCell ref="B3:C3"/>
    <mergeCell ref="E3:F3"/>
    <mergeCell ref="H3:I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49C6-AF3D-4D0E-B7C3-524A0E1BD6F8}">
  <sheetPr codeName="Folha20">
    <tabColor theme="4" tint="0.39997558519241921"/>
  </sheetPr>
  <dimension ref="A1:Y1001"/>
  <sheetViews>
    <sheetView showGridLines="0" zoomScale="110" zoomScaleNormal="110" workbookViewId="0">
      <selection activeCell="B5" sqref="B5"/>
    </sheetView>
  </sheetViews>
  <sheetFormatPr defaultColWidth="14.44140625" defaultRowHeight="15" customHeight="1"/>
  <cols>
    <col min="1" max="1" width="9.33203125" customWidth="1"/>
    <col min="2" max="3" width="24.109375" customWidth="1"/>
    <col min="4" max="4" width="3.33203125" customWidth="1"/>
    <col min="5" max="6" width="24.109375" customWidth="1"/>
    <col min="7" max="7" width="3.44140625" customWidth="1"/>
    <col min="8" max="9" width="24.109375" customWidth="1"/>
    <col min="10" max="10" width="3.44140625" customWidth="1"/>
    <col min="11" max="12" width="24.109375" customWidth="1"/>
    <col min="13" max="25" width="8.6640625" customWidth="1"/>
  </cols>
  <sheetData>
    <row r="1" spans="1:25" ht="77.400000000000006" customHeight="1">
      <c r="A1" s="74"/>
      <c r="B1" s="250" t="s">
        <v>150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04"/>
    </row>
    <row r="2" spans="1:25" ht="20.100000000000001" customHeight="1"/>
    <row r="3" spans="1:25" s="30" customFormat="1" ht="33.9" customHeight="1">
      <c r="B3" s="261" t="s">
        <v>130</v>
      </c>
      <c r="C3" s="262"/>
      <c r="E3" s="261" t="s">
        <v>134</v>
      </c>
      <c r="F3" s="262"/>
      <c r="H3" s="261" t="s">
        <v>138</v>
      </c>
      <c r="I3" s="262"/>
      <c r="K3" s="261" t="s">
        <v>142</v>
      </c>
      <c r="L3" s="262"/>
    </row>
    <row r="4" spans="1:25" s="30" customFormat="1" ht="33.9" customHeight="1">
      <c r="B4" s="263" t="s">
        <v>72</v>
      </c>
      <c r="C4" s="264"/>
      <c r="D4" s="21"/>
      <c r="E4" s="263" t="s">
        <v>72</v>
      </c>
      <c r="F4" s="264"/>
      <c r="G4" s="21"/>
      <c r="H4" s="263" t="s">
        <v>72</v>
      </c>
      <c r="I4" s="264"/>
      <c r="J4" s="21"/>
      <c r="K4" s="263" t="s">
        <v>72</v>
      </c>
      <c r="L4" s="264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5" s="77" customFormat="1" ht="27.9" customHeight="1">
      <c r="B5" s="190" t="s">
        <v>131</v>
      </c>
      <c r="C5" s="191">
        <f>+'Seg. Social Produtos'!C5+'Seg. Social Serviços'!C5</f>
        <v>1586.5</v>
      </c>
      <c r="D5" s="197"/>
      <c r="E5" s="190" t="s">
        <v>135</v>
      </c>
      <c r="F5" s="191">
        <f>+'Seg. Social Produtos'!F5+'Seg. Social Serviços'!F5</f>
        <v>2014</v>
      </c>
      <c r="G5" s="197"/>
      <c r="H5" s="190" t="s">
        <v>139</v>
      </c>
      <c r="I5" s="191">
        <f>+'Seg. Social Produtos'!I5+'Seg. Social Serviços'!I5</f>
        <v>6620</v>
      </c>
      <c r="J5" s="197"/>
      <c r="K5" s="198" t="s">
        <v>143</v>
      </c>
      <c r="L5" s="199">
        <f>+'Seg. Social Produtos'!L5+'Seg. Social Serviços'!L5</f>
        <v>0</v>
      </c>
    </row>
    <row r="6" spans="1:25" s="77" customFormat="1" ht="27.9" customHeight="1">
      <c r="B6" s="192" t="s">
        <v>132</v>
      </c>
      <c r="C6" s="193">
        <f>+'Seg. Social Produtos'!C6+'Seg. Social Serviços'!C6</f>
        <v>1084</v>
      </c>
      <c r="D6" s="197"/>
      <c r="E6" s="198" t="s">
        <v>136</v>
      </c>
      <c r="F6" s="199">
        <f>+'Seg. Social Produtos'!F6+'Seg. Social Serviços'!F6</f>
        <v>2913</v>
      </c>
      <c r="G6" s="197"/>
      <c r="H6" s="198" t="s">
        <v>140</v>
      </c>
      <c r="I6" s="199">
        <f>+'Seg. Social Produtos'!I6+'Seg. Social Serviços'!I6</f>
        <v>2422.5</v>
      </c>
      <c r="J6" s="197"/>
      <c r="K6" s="198" t="s">
        <v>144</v>
      </c>
      <c r="L6" s="199">
        <f>+'Seg. Social Produtos'!L6+'Seg. Social Serviços'!L6</f>
        <v>2248.6399999999994</v>
      </c>
    </row>
    <row r="7" spans="1:25" s="77" customFormat="1" ht="27.9" customHeight="1">
      <c r="B7" s="194" t="s">
        <v>133</v>
      </c>
      <c r="C7" s="195">
        <f>+'Seg. Social Produtos'!C7+'Seg. Social Serviços'!C7</f>
        <v>1360.5</v>
      </c>
      <c r="D7" s="197"/>
      <c r="E7" s="194" t="s">
        <v>137</v>
      </c>
      <c r="F7" s="195">
        <f>+'Seg. Social Produtos'!F7+'Seg. Social Serviços'!F7</f>
        <v>2355</v>
      </c>
      <c r="G7" s="197"/>
      <c r="H7" s="194" t="s">
        <v>141</v>
      </c>
      <c r="I7" s="195">
        <f>+'Seg. Social Produtos'!I7+'Seg. Social Serviços'!I7</f>
        <v>0</v>
      </c>
      <c r="J7" s="197"/>
      <c r="K7" s="194" t="s">
        <v>145</v>
      </c>
      <c r="L7" s="195">
        <f>+'Seg. Social Produtos'!L7+'Seg. Social Serviços'!L7</f>
        <v>4795.8599999999997</v>
      </c>
    </row>
    <row r="8" spans="1:25" s="77" customFormat="1" ht="27.9" customHeight="1">
      <c r="B8" s="78" t="s">
        <v>71</v>
      </c>
      <c r="C8" s="79">
        <f>SUM(C5:C7)</f>
        <v>4031</v>
      </c>
      <c r="D8" s="80"/>
      <c r="E8" s="78" t="s">
        <v>71</v>
      </c>
      <c r="F8" s="79">
        <f>SUM(F5:F7)</f>
        <v>7282</v>
      </c>
      <c r="G8" s="80"/>
      <c r="H8" s="78" t="s">
        <v>71</v>
      </c>
      <c r="I8" s="79">
        <f>SUM(I5:I7)</f>
        <v>9042.5</v>
      </c>
      <c r="J8" s="80"/>
      <c r="K8" s="78" t="s">
        <v>71</v>
      </c>
      <c r="L8" s="79">
        <f>SUM(L5:L7)</f>
        <v>7044.4999999999991</v>
      </c>
      <c r="P8" s="81"/>
      <c r="Q8" s="81"/>
      <c r="R8" s="81"/>
      <c r="S8" s="81"/>
      <c r="T8" s="81"/>
      <c r="U8" s="81"/>
      <c r="V8" s="81"/>
      <c r="W8" s="81"/>
      <c r="X8" s="81"/>
      <c r="Y8" s="81"/>
    </row>
    <row r="9" spans="1:25" s="69" customFormat="1" ht="23.1" customHeight="1">
      <c r="A9" s="176"/>
      <c r="B9" s="260" t="str">
        <f>"Entrega da declaração trimestral até "&amp;TEXT(Auxiliar1!C5,"dd/mm")</f>
        <v>Entrega da declaração trimestral até 30/04</v>
      </c>
      <c r="C9" s="260"/>
      <c r="D9" s="75"/>
      <c r="E9" s="260" t="str">
        <f>"Entrega da declaração trimestral até "&amp;TEXT(Auxiliar1!C6,"dd/mm")</f>
        <v>Entrega da declaração trimestral até 31/07</v>
      </c>
      <c r="F9" s="260"/>
      <c r="G9" s="75"/>
      <c r="H9" s="260" t="str">
        <f>"Entrega da declaração trimestral até "&amp;TEXT(Auxiliar1!C7,"dd/mm")</f>
        <v>Entrega da declaração trimestral até 31/10</v>
      </c>
      <c r="I9" s="260"/>
      <c r="J9" s="75"/>
      <c r="K9" s="260" t="str">
        <f>"Entrega da declaração trimestral até "&amp;TEXT(Auxiliar1!C8,"dd/mm")</f>
        <v>Entrega da declaração trimestral até 31/01</v>
      </c>
      <c r="L9" s="260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</row>
    <row r="10" spans="1:25" ht="23.1" customHeight="1"/>
    <row r="11" spans="1:25" ht="23.1" customHeight="1"/>
    <row r="12" spans="1:25" s="82" customFormat="1" ht="27.9" customHeight="1">
      <c r="B12" s="83" t="str">
        <f>"Pagar até "&amp;TEXT(Auxiliar1!C12,"dd/mm")</f>
        <v>Pagar até 05/01</v>
      </c>
      <c r="C12" s="84">
        <f>IF(((C8*Auxiliar1!C17*Auxiliar1!C18)+('Seg. Social Serviços'!C8*Auxiliar1!D17*Auxiliar1!D18))/3&lt;Auxiliar1!C20,Auxiliar1!C20,((C8*Auxiliar1!C17*Auxiliar1!C18)+('Seg. Social Serviços'!C8*Auxiliar1!D17*Auxiliar1!D18))/3)</f>
        <v>269.00206666666668</v>
      </c>
      <c r="E12" s="83" t="str">
        <f>"Pagar até "&amp;TEXT(Auxiliar1!D12,"dd/mm")</f>
        <v>Pagar até 05/02</v>
      </c>
      <c r="F12" s="84">
        <f>IF(((F8*Auxiliar1!C17*Auxiliar1!C18)+('Seg. Social Serviços'!C8*Auxiliar1!D17*Auxiliar1!D18))/3&lt;Auxiliar1!C20,Auxiliar1!C20,((F8*Auxiliar1!C17*Auxiliar1!C18)+('Seg. Social Serviços'!C8*Auxiliar1!D17*Auxiliar1!D18))/3)</f>
        <v>431.33533333333327</v>
      </c>
      <c r="H12" s="83" t="str">
        <f>"Pagar até "&amp;TEXT(Auxiliar1!E12,"dd/mm")</f>
        <v>Pagar até 05/03</v>
      </c>
      <c r="I12" s="84">
        <f>IF(((I8*Auxiliar1!C17*Auxiliar1!C18)+('Seg. Social Serviços'!C8*Auxiliar1!D17*Auxiliar1!D18))/3&lt;Auxiliar1!C20,Auxiliar1!C20,((I8*Auxiliar1!C17*Auxiliar1!C18)+('Seg. Social Serviços'!C8*Auxiliar1!D17*Auxiliar1!D18))/3)</f>
        <v>519.24296666666658</v>
      </c>
      <c r="K12" s="83" t="str">
        <f>"Pagar até "&amp;TEXT(Auxiliar1!F12,"dd/mm")</f>
        <v>Pagar até 05/04</v>
      </c>
      <c r="L12" s="84">
        <f>IF(((L8*Auxiliar1!C17*Auxiliar1!C18)+('Seg. Social Serviços'!C8*Auxiliar1!D17*Auxiliar1!D18))/3&lt;Auxiliar1!C20,Auxiliar1!C20,((L8*Auxiliar1!C17*Auxiliar1!C18)+('Seg. Social Serviços'!C8*Auxiliar1!D17*Auxiliar1!D18))/3)</f>
        <v>419.47616666666653</v>
      </c>
    </row>
    <row r="13" spans="1:25" s="82" customFormat="1" ht="27.9" customHeight="1">
      <c r="B13" s="85" t="str">
        <f>"Pagar até "&amp;TEXT(Auxiliar1!C13,"dd/mm")</f>
        <v>Pagar até 20/01</v>
      </c>
      <c r="C13" s="86">
        <f t="shared" ref="C13:C14" si="0">+C12</f>
        <v>269.00206666666668</v>
      </c>
      <c r="E13" s="85" t="str">
        <f>"Pagar até "&amp;TEXT(Auxiliar1!D13,"dd/mm")</f>
        <v>Pagar até 20/02</v>
      </c>
      <c r="F13" s="86">
        <f t="shared" ref="F13:F14" si="1">+F12</f>
        <v>431.33533333333327</v>
      </c>
      <c r="H13" s="85" t="str">
        <f>"Pagar até "&amp;TEXT(Auxiliar1!E13,"dd/mm")</f>
        <v>Pagar até 20/03</v>
      </c>
      <c r="I13" s="86">
        <f t="shared" ref="I13:I14" si="2">+I12</f>
        <v>519.24296666666658</v>
      </c>
      <c r="K13" s="85" t="str">
        <f>"Pagar até "&amp;TEXT(Auxiliar1!F13,"dd/mm")</f>
        <v>Pagar até 20/04</v>
      </c>
      <c r="L13" s="86">
        <f t="shared" ref="L13:L14" si="3">+L12</f>
        <v>419.47616666666653</v>
      </c>
    </row>
    <row r="14" spans="1:25" s="82" customFormat="1" ht="27.9" customHeight="1">
      <c r="B14" s="87" t="str">
        <f>"Pagar até "&amp;TEXT(Auxiliar1!C14,"dd/mm")</f>
        <v>Pagar até 20/07</v>
      </c>
      <c r="C14" s="88">
        <f t="shared" si="0"/>
        <v>269.00206666666668</v>
      </c>
      <c r="E14" s="87" t="str">
        <f>"Pagar até "&amp;TEXT(Auxiliar1!D14,"dd/mm")</f>
        <v>Pagar até 20/10</v>
      </c>
      <c r="F14" s="88">
        <f t="shared" si="1"/>
        <v>431.33533333333327</v>
      </c>
      <c r="H14" s="87" t="str">
        <f>"Pagar até "&amp;TEXT(Auxiliar1!E14,"dd/mm")</f>
        <v>Pagar até 20/01</v>
      </c>
      <c r="I14" s="88">
        <f t="shared" si="2"/>
        <v>519.24296666666658</v>
      </c>
      <c r="K14" s="87" t="str">
        <f>"Pagar até "&amp;TEXT(Auxiliar1!F14,"dd/mm")</f>
        <v>Pagar até 20/04</v>
      </c>
      <c r="L14" s="88">
        <f t="shared" si="3"/>
        <v>419.47616666666653</v>
      </c>
    </row>
    <row r="15" spans="1:25" ht="14.25" customHeight="1">
      <c r="B15" s="206"/>
    </row>
    <row r="16" spans="1:25" ht="14.25" customHeight="1">
      <c r="B16" s="253" t="s">
        <v>148</v>
      </c>
      <c r="C16" s="253"/>
      <c r="E16" s="253" t="s">
        <v>148</v>
      </c>
      <c r="F16" s="253"/>
      <c r="H16" s="253" t="s">
        <v>148</v>
      </c>
      <c r="I16" s="253"/>
      <c r="K16" s="253" t="s">
        <v>148</v>
      </c>
      <c r="L16" s="253"/>
    </row>
    <row r="17" spans="2:12" ht="14.25" customHeight="1">
      <c r="B17" s="253"/>
      <c r="C17" s="253"/>
      <c r="E17" s="253"/>
      <c r="F17" s="253"/>
      <c r="H17" s="253"/>
      <c r="I17" s="253"/>
      <c r="K17" s="253"/>
      <c r="L17" s="253"/>
    </row>
    <row r="18" spans="2:12" ht="14.25" customHeight="1">
      <c r="E18" s="205"/>
      <c r="F18" s="205"/>
      <c r="H18" s="205"/>
      <c r="I18" s="205"/>
      <c r="K18" s="205"/>
      <c r="L18" s="205"/>
    </row>
    <row r="19" spans="2:12" ht="14.25" customHeight="1"/>
    <row r="20" spans="2:12" ht="14.25" customHeight="1"/>
    <row r="21" spans="2:12" ht="14.25" customHeight="1"/>
    <row r="22" spans="2:12" ht="14.25" customHeight="1"/>
    <row r="23" spans="2:12" ht="14.25" customHeight="1"/>
    <row r="24" spans="2:12" ht="14.25" customHeight="1"/>
    <row r="25" spans="2:12" ht="14.25" customHeight="1"/>
    <row r="26" spans="2:12" ht="14.25" customHeight="1"/>
    <row r="27" spans="2:12" ht="14.25" customHeight="1"/>
    <row r="28" spans="2:12" ht="14.25" customHeight="1"/>
    <row r="29" spans="2:12" ht="14.25" customHeight="1"/>
    <row r="30" spans="2:12" ht="14.25" customHeight="1"/>
    <row r="31" spans="2:12" ht="14.25" customHeight="1"/>
    <row r="32" spans="2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7">
    <mergeCell ref="E9:F9"/>
    <mergeCell ref="E16:F17"/>
    <mergeCell ref="B1:L1"/>
    <mergeCell ref="H9:I9"/>
    <mergeCell ref="H16:I17"/>
    <mergeCell ref="K9:L9"/>
    <mergeCell ref="K16:L17"/>
    <mergeCell ref="B3:C3"/>
    <mergeCell ref="B4:C4"/>
    <mergeCell ref="H3:I3"/>
    <mergeCell ref="H4:I4"/>
    <mergeCell ref="K3:L3"/>
    <mergeCell ref="K4:L4"/>
    <mergeCell ref="B9:C9"/>
    <mergeCell ref="B16:C17"/>
    <mergeCell ref="E3:F3"/>
    <mergeCell ref="E4:F4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lha21">
    <tabColor theme="2" tint="-0.499984740745262"/>
  </sheetPr>
  <dimension ref="A1:Z1001"/>
  <sheetViews>
    <sheetView showGridLines="0" zoomScale="110" zoomScaleNormal="110" workbookViewId="0">
      <selection activeCell="Q7" sqref="Q7"/>
    </sheetView>
  </sheetViews>
  <sheetFormatPr defaultColWidth="14.44140625" defaultRowHeight="15" customHeight="1"/>
  <cols>
    <col min="1" max="1" width="7.6640625" customWidth="1"/>
    <col min="2" max="2" width="12.88671875" customWidth="1"/>
    <col min="3" max="3" width="18.44140625" customWidth="1"/>
    <col min="4" max="4" width="18.33203125" customWidth="1"/>
    <col min="5" max="5" width="4.6640625" customWidth="1"/>
    <col min="6" max="6" width="12.88671875" customWidth="1"/>
    <col min="7" max="8" width="18.109375" customWidth="1"/>
    <col min="9" max="9" width="4.6640625" customWidth="1"/>
    <col min="10" max="10" width="12.88671875" customWidth="1"/>
    <col min="11" max="12" width="18.109375" customWidth="1"/>
    <col min="13" max="13" width="4.88671875" customWidth="1"/>
    <col min="14" max="14" width="12.88671875" customWidth="1"/>
    <col min="15" max="16" width="18.109375" customWidth="1"/>
    <col min="17" max="17" width="13.109375" customWidth="1"/>
    <col min="18" max="26" width="8.6640625" customWidth="1"/>
  </cols>
  <sheetData>
    <row r="1" spans="1:26" ht="77.400000000000006" customHeight="1">
      <c r="A1" s="204"/>
      <c r="B1" s="250" t="s">
        <v>151</v>
      </c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04"/>
    </row>
    <row r="2" spans="1:26" ht="33.9" customHeight="1"/>
    <row r="3" spans="1:26" s="135" customFormat="1" ht="47.1" customHeight="1">
      <c r="B3" s="268" t="s">
        <v>130</v>
      </c>
      <c r="C3" s="269"/>
      <c r="D3" s="270"/>
      <c r="F3" s="268" t="s">
        <v>134</v>
      </c>
      <c r="G3" s="269"/>
      <c r="H3" s="270"/>
      <c r="J3" s="268" t="s">
        <v>138</v>
      </c>
      <c r="K3" s="269"/>
      <c r="L3" s="270"/>
      <c r="N3" s="268" t="s">
        <v>142</v>
      </c>
      <c r="O3" s="269"/>
      <c r="P3" s="270"/>
    </row>
    <row r="4" spans="1:26" s="30" customFormat="1" ht="42" customHeight="1">
      <c r="B4" s="89"/>
      <c r="C4" s="90" t="s">
        <v>152</v>
      </c>
      <c r="D4" s="91" t="s">
        <v>153</v>
      </c>
      <c r="E4" s="21"/>
      <c r="F4" s="89"/>
      <c r="G4" s="90" t="s">
        <v>152</v>
      </c>
      <c r="H4" s="91" t="s">
        <v>153</v>
      </c>
      <c r="I4" s="21"/>
      <c r="J4" s="89"/>
      <c r="K4" s="90" t="s">
        <v>152</v>
      </c>
      <c r="L4" s="91" t="s">
        <v>153</v>
      </c>
      <c r="M4" s="21"/>
      <c r="N4" s="89"/>
      <c r="O4" s="90" t="s">
        <v>152</v>
      </c>
      <c r="P4" s="91" t="s">
        <v>153</v>
      </c>
      <c r="S4" s="21"/>
      <c r="T4" s="21"/>
      <c r="U4" s="21"/>
      <c r="V4" s="21"/>
      <c r="W4" s="21"/>
      <c r="X4" s="21"/>
      <c r="Y4" s="21"/>
      <c r="Z4" s="21"/>
    </row>
    <row r="5" spans="1:26" s="70" customFormat="1" ht="27.9" customHeight="1">
      <c r="B5" s="190" t="s">
        <v>131</v>
      </c>
      <c r="C5" s="191" cm="1">
        <f t="array" ref="C5">SUMPRODUCT((MONTH(Fat_Jan[Data])=1)*(Fat_Jan[[IVA ]]))</f>
        <v>0</v>
      </c>
      <c r="D5" s="191" cm="1">
        <f t="array" ref="D5">SUMPRODUCT((MONTH(Desp_Jan[Data])=1)*(Desp_Jan[[IVA ]]))</f>
        <v>3.45</v>
      </c>
      <c r="F5" s="190" t="s">
        <v>135</v>
      </c>
      <c r="G5" s="191" cm="1">
        <f t="array" ref="G5">SUMPRODUCT((MONTH(Fat_Abr[Data])=4)*(Fat_Abr[[IVA ]]))</f>
        <v>0</v>
      </c>
      <c r="H5" s="191" cm="1">
        <f t="array" ref="H5">SUMPRODUCT((MONTH(Desp_Abr[Data])=4)*(Desp_Abr[[IVA ]]))</f>
        <v>3.45</v>
      </c>
      <c r="J5" s="190" t="s">
        <v>139</v>
      </c>
      <c r="K5" s="191" cm="1">
        <f t="array" ref="K5">SUMPRODUCT((MONTH(Fat_Jul[Data])=7)*(Fat_Jul[[IVA ]]))</f>
        <v>0</v>
      </c>
      <c r="L5" s="191" cm="1">
        <f t="array" ref="L5">SUMPRODUCT((MONTH(Desp_Jul[Data])=7)*(Desp_Jul[[IVA ]]))</f>
        <v>0</v>
      </c>
      <c r="N5" s="190" t="s">
        <v>143</v>
      </c>
      <c r="O5" s="191" cm="1">
        <f t="array" ref="O5">SUMPRODUCT((MONTH(Fat_Out[Data])=10)*(Fat_Out[[IVA ]]))</f>
        <v>0</v>
      </c>
      <c r="P5" s="191" cm="1">
        <f t="array" ref="P5">SUMPRODUCT((MONTH(Desp_Out[Data])=10)*(Desp_Out[[IVA ]]))</f>
        <v>0</v>
      </c>
    </row>
    <row r="6" spans="1:26" s="70" customFormat="1" ht="27.9" customHeight="1">
      <c r="B6" s="192" t="s">
        <v>132</v>
      </c>
      <c r="C6" s="193" cm="1">
        <f t="array" ref="C6">SUMPRODUCT((MONTH(Fat_Fev[Data])=2)*(Fat_Fev[[IVA ]]))</f>
        <v>0</v>
      </c>
      <c r="D6" s="193" cm="1">
        <f t="array" ref="D6">SUMPRODUCT((MONTH(Desp_Fev[Data])=2)*(Desp_Fev[[IVA ]]))</f>
        <v>3.45</v>
      </c>
      <c r="F6" s="192" t="s">
        <v>136</v>
      </c>
      <c r="G6" s="193" cm="1">
        <f t="array" ref="G6">SUMPRODUCT((MONTH(Fat_Mai[Data])=5)*(Fat_Mai[[IVA ]]))</f>
        <v>0</v>
      </c>
      <c r="H6" s="193" cm="1">
        <f t="array" ref="H6">SUMPRODUCT((MONTH(Desp_Mai[Data])=5)*(Desp_Mai[[IVA ]]))</f>
        <v>3.45</v>
      </c>
      <c r="J6" s="192" t="s">
        <v>140</v>
      </c>
      <c r="K6" s="193" cm="1">
        <f t="array" ref="K6">SUMPRODUCT((MONTH(Fat_Ago[Data])=8)*(Fat_Ago[[IVA ]]))</f>
        <v>0</v>
      </c>
      <c r="L6" s="193" cm="1">
        <f t="array" ref="L6">SUMPRODUCT((MONTH(Desp_Ago[Data])=8)*(Desp_Ago[[IVA ]]))</f>
        <v>0</v>
      </c>
      <c r="N6" s="192" t="s">
        <v>144</v>
      </c>
      <c r="O6" s="193" cm="1">
        <f t="array" ref="O6">SUMPRODUCT((MONTH(Fat_Nov[Data])=11)*(Fat_Nov[[IVA ]]))</f>
        <v>396.44119999999998</v>
      </c>
      <c r="P6" s="193" cm="1">
        <f t="array" ref="P6">SUMPRODUCT((MONTH(Desp_Nov[Data])=11)*(Desp_Nov[[IVA ]]))</f>
        <v>0</v>
      </c>
    </row>
    <row r="7" spans="1:26" s="70" customFormat="1" ht="27.9" customHeight="1">
      <c r="B7" s="194" t="s">
        <v>133</v>
      </c>
      <c r="C7" s="195" cm="1">
        <f t="array" ref="C7">SUMPRODUCT((MONTH(Fat_Mar[Data])=3)*(Fat_Mar[[IVA ]]))</f>
        <v>0</v>
      </c>
      <c r="D7" s="195" cm="1">
        <f t="array" ref="D7">SUMPRODUCT((MONTH(Desp_Mar[Data])=3)*(Desp_Mar[[IVA ]]))</f>
        <v>3.45</v>
      </c>
      <c r="F7" s="194" t="s">
        <v>137</v>
      </c>
      <c r="G7" s="195" cm="1">
        <f t="array" ref="G7">SUMPRODUCT((MONTH(Fat_Jun[Data])=6)*(Fat_Jun[[IVA ]]))</f>
        <v>0</v>
      </c>
      <c r="H7" s="195" cm="1">
        <f t="array" ref="H7">SUMPRODUCT((MONTH(Desp_Jun[Data])=6)*(Desp_Jun[[IVA ]]))</f>
        <v>6.21</v>
      </c>
      <c r="J7" s="194" t="s">
        <v>141</v>
      </c>
      <c r="K7" s="195" cm="1">
        <f t="array" ref="K7">SUMPRODUCT((MONTH(Fat_Set[Data])=9)*(Fat_Set[[IVA ]]))</f>
        <v>0</v>
      </c>
      <c r="L7" s="195" cm="1">
        <f t="array" ref="L7">SUMPRODUCT((MONTH(Desp_Set[Data])=9)*(Desp_Set[[IVA ]]))</f>
        <v>0</v>
      </c>
      <c r="N7" s="194" t="s">
        <v>145</v>
      </c>
      <c r="O7" s="195" cm="1">
        <f t="array" ref="O7">SUMPRODUCT((MONTH(Fat_Dez[Data])=12)*(Fat_Dez[[IVA ]]))</f>
        <v>874.01380000000051</v>
      </c>
      <c r="P7" s="195" cm="1">
        <f t="array" ref="P7">SUMPRODUCT((MONTH(Desp_Dez[Data])=12)*(Desp_Dez[[IVA ]]))</f>
        <v>0</v>
      </c>
      <c r="Q7" s="202"/>
    </row>
    <row r="8" spans="1:26" s="70" customFormat="1" ht="27.9" customHeight="1">
      <c r="B8" s="78" t="s">
        <v>71</v>
      </c>
      <c r="C8" s="79">
        <f t="shared" ref="C8:D8" si="0">SUM(C5:C7)</f>
        <v>0</v>
      </c>
      <c r="D8" s="79">
        <f t="shared" si="0"/>
        <v>10.350000000000001</v>
      </c>
      <c r="E8" s="196"/>
      <c r="F8" s="78" t="s">
        <v>71</v>
      </c>
      <c r="G8" s="79">
        <f t="shared" ref="G8:H8" si="1">SUM(G5:G7)</f>
        <v>0</v>
      </c>
      <c r="H8" s="79">
        <f t="shared" si="1"/>
        <v>13.11</v>
      </c>
      <c r="I8" s="196"/>
      <c r="J8" s="78" t="s">
        <v>71</v>
      </c>
      <c r="K8" s="79">
        <f t="shared" ref="K8:L8" si="2">SUM(K5:K7)</f>
        <v>0</v>
      </c>
      <c r="L8" s="79">
        <f t="shared" si="2"/>
        <v>0</v>
      </c>
      <c r="M8" s="196"/>
      <c r="N8" s="78" t="s">
        <v>71</v>
      </c>
      <c r="O8" s="79">
        <f t="shared" ref="O8:P8" si="3">SUM(O5:O7)</f>
        <v>1270.4550000000004</v>
      </c>
      <c r="P8" s="79">
        <f t="shared" si="3"/>
        <v>0</v>
      </c>
      <c r="S8" s="196"/>
      <c r="T8" s="196"/>
      <c r="U8" s="196"/>
      <c r="V8" s="196"/>
      <c r="W8" s="196"/>
      <c r="X8" s="196"/>
      <c r="Y8" s="196"/>
      <c r="Z8" s="196"/>
    </row>
    <row r="9" spans="1:26" ht="33" customHeight="1"/>
    <row r="10" spans="1:26" s="73" customFormat="1" ht="39" customHeight="1">
      <c r="B10" s="271" t="s">
        <v>154</v>
      </c>
      <c r="C10" s="272"/>
      <c r="D10" s="136">
        <f>+IF(D8&gt;C8,D8-C8,0)</f>
        <v>10.350000000000001</v>
      </c>
      <c r="F10" s="271" t="s">
        <v>154</v>
      </c>
      <c r="G10" s="272"/>
      <c r="H10" s="136">
        <f>+IF(H8&gt;G8,H8-G8,0)</f>
        <v>13.11</v>
      </c>
      <c r="J10" s="271" t="s">
        <v>154</v>
      </c>
      <c r="K10" s="272"/>
      <c r="L10" s="136">
        <f>+IF(L8&gt;K8,L8-K8,0)</f>
        <v>0</v>
      </c>
      <c r="N10" s="271" t="s">
        <v>154</v>
      </c>
      <c r="O10" s="272"/>
      <c r="P10" s="136">
        <f>+IF(P8&gt;O8,P8-O8,0)</f>
        <v>0</v>
      </c>
    </row>
    <row r="11" spans="1:26" s="73" customFormat="1" ht="39" customHeight="1">
      <c r="B11" s="265" t="s">
        <v>155</v>
      </c>
      <c r="C11" s="266"/>
      <c r="D11" s="137">
        <f>+IF(C8&gt;D8,C8-D8,0)</f>
        <v>0</v>
      </c>
      <c r="F11" s="265" t="s">
        <v>155</v>
      </c>
      <c r="G11" s="266"/>
      <c r="H11" s="137">
        <f>+IF(G8&gt;H8,G8-H8,0)</f>
        <v>0</v>
      </c>
      <c r="J11" s="265" t="s">
        <v>155</v>
      </c>
      <c r="K11" s="266"/>
      <c r="L11" s="137">
        <f>+IF(K8&gt;L8,K8-L8,0)</f>
        <v>0</v>
      </c>
      <c r="N11" s="265" t="s">
        <v>155</v>
      </c>
      <c r="O11" s="266"/>
      <c r="P11" s="137">
        <f>+IF(O8&gt;P8,O8-P8,0)</f>
        <v>1270.4550000000004</v>
      </c>
    </row>
    <row r="12" spans="1:26" ht="21.9" customHeight="1">
      <c r="B12" s="273" t="str">
        <f>"Entrega até"&amp;TEXT(Auxiliar1!C12,"dd/mm")&amp;"; Pagamento até "&amp;TEXT(Auxiliar1!D23,"dd/mm")</f>
        <v>Entrega até05/01; Pagamento até 25/05</v>
      </c>
      <c r="C12" s="273"/>
      <c r="D12" s="273"/>
      <c r="F12" s="267" t="str">
        <f>"Entrega até"&amp;TEXT(Auxiliar1!D12,"dd/mm")&amp;"; Pagamento até "&amp;TEXT(Auxiliar1!D24,"dd/mm")</f>
        <v>Entrega até05/02; Pagamento até 25/08</v>
      </c>
      <c r="G12" s="267"/>
      <c r="H12" s="267"/>
      <c r="J12" s="267" t="str">
        <f>"Entrega até"&amp;TEXT(Auxiliar1!E12,"dd/mm")&amp;"; Pagamento até "&amp;TEXT(Auxiliar1!D25,"dd/mm")</f>
        <v>Entrega até05/03; Pagamento até 25/11</v>
      </c>
      <c r="K12" s="267"/>
      <c r="L12" s="267"/>
      <c r="N12" s="267" t="str">
        <f>"Entrega até"&amp;TEXT(Auxiliar1!F12,"dd/mm")&amp;"; Pagamento até "&amp;TEXT(Auxiliar1!D26,"dd/mm")</f>
        <v>Entrega até05/04; Pagamento até 25/02</v>
      </c>
      <c r="O12" s="267"/>
      <c r="P12" s="267"/>
    </row>
    <row r="13" spans="1:26" ht="14.25" customHeight="1"/>
    <row r="14" spans="1:26" ht="14.25" customHeight="1"/>
    <row r="15" spans="1:26" ht="14.25" customHeight="1">
      <c r="B15" s="18"/>
      <c r="C15" s="18"/>
    </row>
    <row r="16" spans="1:26" ht="14.25" customHeight="1">
      <c r="B16" s="18"/>
      <c r="C16" s="18"/>
    </row>
    <row r="17" spans="2:3" ht="14.25" customHeight="1">
      <c r="B17" s="18"/>
      <c r="C17" s="18"/>
    </row>
    <row r="18" spans="2:3" ht="14.25" customHeight="1"/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7">
    <mergeCell ref="N10:O10"/>
    <mergeCell ref="B1:P1"/>
    <mergeCell ref="B11:C11"/>
    <mergeCell ref="N11:O11"/>
    <mergeCell ref="N12:P12"/>
    <mergeCell ref="B3:D3"/>
    <mergeCell ref="B10:C10"/>
    <mergeCell ref="F3:H3"/>
    <mergeCell ref="F10:G10"/>
    <mergeCell ref="J3:L3"/>
    <mergeCell ref="B12:D12"/>
    <mergeCell ref="F11:G11"/>
    <mergeCell ref="F12:H12"/>
    <mergeCell ref="J11:K11"/>
    <mergeCell ref="J12:L12"/>
    <mergeCell ref="J10:K10"/>
    <mergeCell ref="N3:P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olha22">
    <tabColor theme="9"/>
  </sheetPr>
  <dimension ref="A1:I1003"/>
  <sheetViews>
    <sheetView showGridLines="0" zoomScale="85" zoomScaleNormal="85" workbookViewId="0">
      <selection activeCell="C9" sqref="C9"/>
    </sheetView>
  </sheetViews>
  <sheetFormatPr defaultColWidth="14.44140625" defaultRowHeight="15" customHeight="1"/>
  <cols>
    <col min="1" max="1" width="9.44140625" customWidth="1"/>
    <col min="2" max="2" width="38.6640625" customWidth="1"/>
    <col min="3" max="3" width="24.6640625" customWidth="1"/>
    <col min="4" max="4" width="10.6640625" customWidth="1"/>
    <col min="5" max="5" width="32.109375" style="65" customWidth="1"/>
    <col min="6" max="6" width="31" style="66" customWidth="1"/>
    <col min="7" max="7" width="12.33203125" customWidth="1"/>
    <col min="8" max="9" width="8.6640625" customWidth="1"/>
  </cols>
  <sheetData>
    <row r="1" spans="1:9" ht="63.9" customHeight="1">
      <c r="A1" s="204"/>
      <c r="B1" s="250" t="s">
        <v>156</v>
      </c>
      <c r="C1" s="250"/>
      <c r="D1" s="250"/>
      <c r="E1" s="250"/>
      <c r="F1" s="250"/>
      <c r="G1" s="204"/>
    </row>
    <row r="2" spans="1:9" ht="14.25" customHeight="1">
      <c r="E2"/>
      <c r="F2" s="62"/>
    </row>
    <row r="3" spans="1:9" ht="30.9" customHeight="1">
      <c r="B3" s="276" t="s">
        <v>157</v>
      </c>
      <c r="C3" s="276"/>
      <c r="E3" s="93" t="s">
        <v>8</v>
      </c>
      <c r="F3" s="94" t="s">
        <v>158</v>
      </c>
    </row>
    <row r="4" spans="1:9" ht="21" customHeight="1">
      <c r="B4" s="95" t="s">
        <v>159</v>
      </c>
      <c r="C4" s="96">
        <v>0.75</v>
      </c>
      <c r="E4" s="70" t="e" cm="1" vm="1">
        <f t="array" ref="E4">_xlfn.UNIQUE(_xlfn.VSTACK(
_xlfn._xlws.FILTER(_xlfn.CHOOSECOLS(Fat_Jan[],5),(Fat_Jan[Tipologia]="Serviços")),_xlfn._xlws.FILTER(_xlfn.CHOOSECOLS(Fat_Fev[],5),(Fat_Fev[Tipologia]="Serviços")),_xlfn._xlws.FILTER(_xlfn.CHOOSECOLS(Fat_Mar[],5),(Fat_Mar[Tipologia]="Serviços")),_xlfn._xlws.FILTER(_xlfn.CHOOSECOLS(Fat_Abr[],5),(Fat_Abr[Tipologia]="Serviços")),_xlfn._xlws.FILTER(_xlfn.CHOOSECOLS(Fat_Mai[],5),(Fat_Mai[Tipologia]="Serviços")),_xlfn._xlws.FILTER(_xlfn.CHOOSECOLS(Fat_Jun[],5),(Fat_Jun[Tipologia]="Serviços")),_xlfn._xlws.FILTER(_xlfn.CHOOSECOLS(Fat_Jul[],5),(Fat_Jul[Tipologia]="Serviços")),_xlfn._xlws.FILTER(_xlfn.CHOOSECOLS(Fat_Ago[],5),(Fat_Ago[Tipologia]="Serviços")),_xlfn._xlws.FILTER(_xlfn.CHOOSECOLS(Fat_Set[],5),(Fat_Set[Tipologia]="Serviços")),_xlfn._xlws.FILTER(_xlfn.CHOOSECOLS(Fat_Out[],5),(Fat_Out[Tipologia]="Serviços")),_xlfn._xlws.FILTER(_xlfn.CHOOSECOLS(Fat_Nov[],5),(Fat_Nov[Tipologia]="Serviços")),_xlfn._xlws.FILTER(_xlfn.CHOOSECOLS(Fat_Dez[],5),(Fat_Dez[Tipologia]="Serviços"))))</f>
        <v>#VALUE!</v>
      </c>
      <c r="F4" s="99" cm="1">
        <f t="array" ref="F4">SUMIF(Fat_Jan[Descrição],_xlfn.ANCHORARRAY(E4),Fat_Jan[Base])+
SUMIF(Fat_Fev[Descrição],_xlfn.ANCHORARRAY(E4),Fat_Fev[Base])+
SUMIF(Fat_Mar[Descrição],_xlfn.ANCHORARRAY(E4),Fat_Mar[Base])+
SUMIF(Fat_Abr[Descrição],_xlfn.ANCHORARRAY(E4),Fat_Abr[Base])+
SUMIF(Fat_Mai[Descrição],_xlfn.ANCHORARRAY(E4),Fat_Mai[Base])+
SUMIF(Fat_Jun[Descrição],_xlfn.ANCHORARRAY(E4),Fat_Jun[Base])+
SUMIF(Fat_Jul[Descrição],_xlfn.ANCHORARRAY(E4),Fat_Jul[Base])+
SUMIF(Fat_Ago[Descrição],_xlfn.ANCHORARRAY(E4),Fat_Ago[Base])+
SUMIF(Fat_Set[Descrição],_xlfn.ANCHORARRAY(E4),Fat_Set[Base])+
SUMIF(Fat_Out[Descrição],_xlfn.ANCHORARRAY(E4),Fat_Out[Base])+
SUMIF(Fat_Nov[Descrição],_xlfn.ANCHORARRAY(E4),Fat_Nov[Base])+
SUMIF(Fat_Dez[Descrição],_xlfn.ANCHORARRAY(E4),Fat_Dez[Base])</f>
        <v>0</v>
      </c>
    </row>
    <row r="5" spans="1:9" ht="21" customHeight="1">
      <c r="B5" s="97" t="s">
        <v>160</v>
      </c>
      <c r="C5" s="98">
        <v>15000</v>
      </c>
      <c r="E5" s="70"/>
      <c r="F5" s="99"/>
    </row>
    <row r="6" spans="1:9" ht="21" customHeight="1">
      <c r="B6" s="95" t="s">
        <v>159</v>
      </c>
      <c r="C6" s="96">
        <v>0.35</v>
      </c>
      <c r="E6" s="70"/>
      <c r="F6" s="99"/>
    </row>
    <row r="7" spans="1:9" ht="21" customHeight="1">
      <c r="B7" s="97" t="s">
        <v>160</v>
      </c>
      <c r="C7" s="98">
        <v>0</v>
      </c>
      <c r="E7" s="70"/>
      <c r="F7" s="99"/>
    </row>
    <row r="8" spans="1:9" ht="21" customHeight="1">
      <c r="B8" s="95" t="s">
        <v>159</v>
      </c>
      <c r="C8" s="96">
        <v>0.15</v>
      </c>
      <c r="D8" s="176"/>
    </row>
    <row r="9" spans="1:9" ht="21" customHeight="1">
      <c r="B9" s="97" t="s">
        <v>160</v>
      </c>
      <c r="C9" s="98">
        <f>'Seg. Social Produtos'!C8+'Seg. Social Produtos'!F8+'Seg. Social Produtos'!I8+'Seg. Social Produtos'!L8</f>
        <v>0</v>
      </c>
      <c r="D9" s="176"/>
    </row>
    <row r="10" spans="1:9" ht="24" customHeight="1">
      <c r="E10" s="277" t="s">
        <v>161</v>
      </c>
      <c r="F10" s="277"/>
    </row>
    <row r="11" spans="1:9" ht="24" customHeight="1">
      <c r="B11" s="92" t="s">
        <v>162</v>
      </c>
      <c r="C11" s="100">
        <v>250</v>
      </c>
      <c r="E11" s="92" t="s">
        <v>161</v>
      </c>
      <c r="F11" s="100">
        <v>5000</v>
      </c>
    </row>
    <row r="12" spans="1:9" ht="24" customHeight="1">
      <c r="B12" s="92" t="s">
        <v>129</v>
      </c>
      <c r="C12" s="100">
        <f>+Balanço!J16</f>
        <v>74.796000000000006</v>
      </c>
      <c r="E12" s="92" t="s">
        <v>163</v>
      </c>
      <c r="F12" s="101">
        <f>IF(((C5+C7)*0.15)&lt;Auxiliar1!D28,0,((C5+C7)*0.15)-Auxiliar1!D28)</f>
        <v>0</v>
      </c>
    </row>
    <row r="13" spans="1:9" ht="24" customHeight="1">
      <c r="E13" s="92" t="s">
        <v>164</v>
      </c>
      <c r="F13" s="101">
        <f>IF(F11&lt;F12,F12-F11,0)</f>
        <v>0</v>
      </c>
    </row>
    <row r="14" spans="1:9" ht="24" customHeight="1"/>
    <row r="15" spans="1:9" ht="30" customHeight="1">
      <c r="B15" s="278" t="s">
        <v>165</v>
      </c>
      <c r="C15" s="279"/>
      <c r="D15" s="279"/>
      <c r="E15" s="279"/>
      <c r="F15" s="279"/>
    </row>
    <row r="16" spans="1:9" ht="24" customHeight="1">
      <c r="B16" s="26" t="s">
        <v>166</v>
      </c>
      <c r="C16" s="61">
        <f>+C4*C5+C6*C7+C8*C9+F13</f>
        <v>11250</v>
      </c>
      <c r="D16" s="19"/>
      <c r="E16" s="67"/>
      <c r="F16" s="68"/>
      <c r="G16" s="19"/>
      <c r="H16" s="19"/>
      <c r="I16" s="19"/>
    </row>
    <row r="17" spans="2:9" ht="24" customHeight="1">
      <c r="B17" s="26" t="s">
        <v>167</v>
      </c>
      <c r="C17" s="27">
        <v>0</v>
      </c>
      <c r="D17" s="19"/>
      <c r="E17" s="274" t="s">
        <v>168</v>
      </c>
      <c r="F17" s="275"/>
      <c r="G17" s="19"/>
      <c r="H17" s="19"/>
      <c r="I17" s="19"/>
    </row>
    <row r="18" spans="2:9" ht="24" customHeight="1">
      <c r="B18" s="102" t="s">
        <v>59</v>
      </c>
      <c r="C18" s="103">
        <f>+C16-C17</f>
        <v>11250</v>
      </c>
      <c r="D18" s="19"/>
      <c r="E18" s="105" t="s">
        <v>129</v>
      </c>
      <c r="F18" s="106">
        <f>C12</f>
        <v>74.796000000000006</v>
      </c>
      <c r="G18" s="19"/>
      <c r="H18" s="19"/>
      <c r="I18" s="19"/>
    </row>
    <row r="19" spans="2:9" ht="24" customHeight="1">
      <c r="B19" s="26" t="s">
        <v>60</v>
      </c>
      <c r="C19" s="28">
        <f>INDEX(Auxiliar1!D32:D40,MATCH(C18,Auxiliar1!B32:B40,1),1)</f>
        <v>0.16500000000000001</v>
      </c>
      <c r="D19" s="19"/>
      <c r="E19" s="107" t="s">
        <v>169</v>
      </c>
      <c r="F19" s="108">
        <f>+IF(F18&gt;C24,F18-C24,0)</f>
        <v>0</v>
      </c>
      <c r="G19" s="19"/>
      <c r="H19" s="19"/>
      <c r="I19" s="19"/>
    </row>
    <row r="20" spans="2:9" ht="24" customHeight="1">
      <c r="B20" s="26" t="s">
        <v>170</v>
      </c>
      <c r="C20" s="27">
        <f>+C18*C19</f>
        <v>1856.25</v>
      </c>
      <c r="D20" s="19"/>
      <c r="E20" s="109" t="s">
        <v>171</v>
      </c>
      <c r="F20" s="110">
        <f>+IF(F18&lt;C24,C24-F18,0)</f>
        <v>1261.8439999999998</v>
      </c>
      <c r="G20" s="19"/>
      <c r="H20" s="19"/>
      <c r="I20" s="19"/>
    </row>
    <row r="21" spans="2:9" ht="24" customHeight="1">
      <c r="B21" s="26" t="s">
        <v>172</v>
      </c>
      <c r="C21" s="27">
        <f>INDEX(Auxiliar1!E32:E40,MATCH(C18,Auxiliar1!B32:B40,1),1)</f>
        <v>269.61</v>
      </c>
      <c r="D21" s="19"/>
      <c r="E21"/>
      <c r="F21"/>
      <c r="H21" s="19"/>
      <c r="I21" s="19"/>
    </row>
    <row r="22" spans="2:9" ht="24" customHeight="1">
      <c r="B22" s="102" t="s">
        <v>173</v>
      </c>
      <c r="C22" s="103">
        <f>+C20-C21</f>
        <v>1586.6399999999999</v>
      </c>
      <c r="D22" s="20"/>
      <c r="E22" s="26" t="s">
        <v>174</v>
      </c>
      <c r="F22" s="104">
        <f>+C22/(C5+C7+C9)</f>
        <v>0.105776</v>
      </c>
      <c r="H22" s="19"/>
      <c r="I22" s="19"/>
    </row>
    <row r="23" spans="2:9" ht="24" customHeight="1">
      <c r="B23" s="26" t="s">
        <v>175</v>
      </c>
      <c r="C23" s="27">
        <f>+C11</f>
        <v>250</v>
      </c>
      <c r="D23" s="19"/>
      <c r="E23" s="26" t="s">
        <v>176</v>
      </c>
      <c r="F23" s="27">
        <f>+C24/12</f>
        <v>111.38666666666666</v>
      </c>
      <c r="H23" s="19"/>
      <c r="I23" s="19"/>
    </row>
    <row r="24" spans="2:9" ht="24" customHeight="1">
      <c r="B24" s="102" t="s">
        <v>177</v>
      </c>
      <c r="C24" s="103">
        <f>+C22-C23</f>
        <v>1336.6399999999999</v>
      </c>
      <c r="E24" s="67"/>
      <c r="F24" s="68"/>
      <c r="G24" s="19"/>
      <c r="H24" s="19"/>
      <c r="I24" s="19"/>
    </row>
    <row r="25" spans="2:9" ht="20.25" customHeight="1">
      <c r="E25" s="67"/>
      <c r="F25" s="68"/>
      <c r="G25" s="19"/>
      <c r="H25" s="19"/>
      <c r="I25" s="19"/>
    </row>
    <row r="26" spans="2:9" ht="20.25" customHeight="1">
      <c r="E26" s="67"/>
      <c r="F26" s="68"/>
      <c r="G26" s="19"/>
      <c r="H26" s="19"/>
      <c r="I26" s="19"/>
    </row>
    <row r="27" spans="2:9" ht="20.25" customHeight="1">
      <c r="E27" s="67"/>
      <c r="F27" s="68"/>
      <c r="G27" s="19"/>
      <c r="H27" s="19"/>
      <c r="I27" s="19"/>
    </row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>
      <c r="C32" s="22"/>
    </row>
    <row r="33" spans="3:3" ht="14.25" customHeight="1">
      <c r="C33" s="22"/>
    </row>
    <row r="34" spans="3:3" ht="14.25" customHeight="1">
      <c r="C34" s="22"/>
    </row>
    <row r="35" spans="3:3" ht="14.25" customHeight="1">
      <c r="C35" s="22"/>
    </row>
    <row r="36" spans="3:3" ht="14.25" customHeight="1"/>
    <row r="37" spans="3:3" ht="14.25" customHeight="1"/>
    <row r="38" spans="3:3" ht="14.25" customHeight="1"/>
    <row r="39" spans="3:3" ht="14.25" customHeight="1"/>
    <row r="40" spans="3:3" ht="14.25" customHeight="1"/>
    <row r="41" spans="3:3" ht="14.25" customHeight="1"/>
    <row r="42" spans="3:3" ht="14.25" customHeight="1"/>
    <row r="43" spans="3:3" ht="14.25" customHeight="1"/>
    <row r="44" spans="3:3" ht="14.25" customHeight="1"/>
    <row r="45" spans="3:3" ht="14.25" customHeight="1"/>
    <row r="46" spans="3:3" ht="14.25" customHeight="1"/>
    <row r="47" spans="3:3" ht="14.25" customHeight="1"/>
    <row r="48" spans="3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5">
    <mergeCell ref="E17:F17"/>
    <mergeCell ref="B1:F1"/>
    <mergeCell ref="B3:C3"/>
    <mergeCell ref="E10:F10"/>
    <mergeCell ref="B15:F15"/>
  </mergeCells>
  <pageMargins left="0.7" right="0.7" top="0.75" bottom="0.75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0F05-7790-474F-AE81-B847944F3182}">
  <sheetPr>
    <tabColor theme="9"/>
  </sheetPr>
  <dimension ref="A1:I1003"/>
  <sheetViews>
    <sheetView showGridLines="0" zoomScale="110" zoomScaleNormal="110" workbookViewId="0">
      <selection activeCell="B16" sqref="B16"/>
    </sheetView>
  </sheetViews>
  <sheetFormatPr defaultColWidth="14.44140625" defaultRowHeight="15" customHeight="1"/>
  <cols>
    <col min="1" max="1" width="9.44140625" customWidth="1"/>
    <col min="2" max="2" width="38.6640625" customWidth="1"/>
    <col min="3" max="3" width="24.6640625" customWidth="1"/>
    <col min="4" max="4" width="10.6640625" customWidth="1"/>
    <col min="5" max="5" width="32.109375" style="65" customWidth="1"/>
    <col min="6" max="6" width="31" style="66" customWidth="1"/>
    <col min="7" max="7" width="12.33203125" customWidth="1"/>
    <col min="8" max="8" width="10.33203125" bestFit="1" customWidth="1"/>
    <col min="9" max="9" width="8.6640625" customWidth="1"/>
  </cols>
  <sheetData>
    <row r="1" spans="1:9" ht="63.9" customHeight="1">
      <c r="A1" s="204"/>
      <c r="B1" s="250" t="s">
        <v>178</v>
      </c>
      <c r="C1" s="250"/>
      <c r="D1" s="250"/>
      <c r="E1" s="250"/>
      <c r="F1" s="250"/>
      <c r="G1" s="204"/>
    </row>
    <row r="2" spans="1:9" ht="14.25" customHeight="1">
      <c r="E2"/>
      <c r="F2" s="62"/>
    </row>
    <row r="3" spans="1:9" ht="30.9" customHeight="1">
      <c r="B3" s="276" t="s">
        <v>157</v>
      </c>
      <c r="C3" s="276"/>
      <c r="E3" s="93" t="s">
        <v>8</v>
      </c>
      <c r="F3" s="94" t="s">
        <v>158</v>
      </c>
    </row>
    <row r="4" spans="1:9" ht="21" customHeight="1">
      <c r="B4" s="95" t="s">
        <v>159</v>
      </c>
      <c r="C4" s="96">
        <v>0.75</v>
      </c>
      <c r="E4" s="70" t="e" cm="1" vm="1">
        <f t="array" ref="E4">_xlfn.UNIQUE(_xlfn.VSTACK(
_xlfn._xlws.FILTER(_xlfn.CHOOSECOLS(Fat_Jan[],5),(Fat_Jan[Tipologia]="Serviços")),_xlfn._xlws.FILTER(_xlfn.CHOOSECOLS(Fat_Fev[],5),(Fat_Fev[Tipologia]="Serviços")),_xlfn._xlws.FILTER(_xlfn.CHOOSECOLS(Fat_Mar[],5),(Fat_Mar[Tipologia]="Serviços")),_xlfn._xlws.FILTER(_xlfn.CHOOSECOLS(Fat_Abr[],5),(Fat_Abr[Tipologia]="Serviços")),_xlfn._xlws.FILTER(_xlfn.CHOOSECOLS(Fat_Mai[],5),(Fat_Mai[Tipologia]="Serviços")),_xlfn._xlws.FILTER(_xlfn.CHOOSECOLS(Fat_Jun[],5),(Fat_Jun[Tipologia]="Serviços")),_xlfn._xlws.FILTER(_xlfn.CHOOSECOLS(Fat_Jul[],5),(Fat_Jul[Tipologia]="Serviços")),_xlfn._xlws.FILTER(_xlfn.CHOOSECOLS(Fat_Ago[],5),(Fat_Ago[Tipologia]="Serviços")),_xlfn._xlws.FILTER(_xlfn.CHOOSECOLS(Fat_Set[],5),(Fat_Set[Tipologia]="Serviços")),_xlfn._xlws.FILTER(_xlfn.CHOOSECOLS(Fat_Out[],5),(Fat_Out[Tipologia]="Serviços")),_xlfn._xlws.FILTER(_xlfn.CHOOSECOLS(Fat_Nov[],5),(Fat_Nov[Tipologia]="Serviços")),_xlfn._xlws.FILTER(_xlfn.CHOOSECOLS(Fat_Dez[],5),(Fat_Dez[Tipologia]="Serviços"))))</f>
        <v>#VALUE!</v>
      </c>
      <c r="F4" s="99" cm="1">
        <f t="array" ref="F4">SUMIF(Fat_Jan[Descrição],_xlfn.ANCHORARRAY(E4),Fat_Jan[Base])+
SUMIF(Fat_Fev[Descrição],_xlfn.ANCHORARRAY(E4),Fat_Fev[Base])+
SUMIF(Fat_Mar[Descrição],_xlfn.ANCHORARRAY(E4),Fat_Mar[Base])+
SUMIF(Fat_Abr[Descrição],_xlfn.ANCHORARRAY(E4),Fat_Abr[Base])+
SUMIF(Fat_Mai[Descrição],_xlfn.ANCHORARRAY(E4),Fat_Mai[Base])+
SUMIF(Fat_Jun[Descrição],_xlfn.ANCHORARRAY(E4),Fat_Jun[Base])+
SUMIF(Fat_Jul[Descrição],_xlfn.ANCHORARRAY(E4),Fat_Jul[Base])+
SUMIF(Fat_Ago[Descrição],_xlfn.ANCHORARRAY(E4),Fat_Ago[Base])+
SUMIF(Fat_Set[Descrição],_xlfn.ANCHORARRAY(E4),Fat_Set[Base])+
SUMIF(Fat_Out[Descrição],_xlfn.ANCHORARRAY(E4),Fat_Out[Base])+
SUMIF(Fat_Nov[Descrição],_xlfn.ANCHORARRAY(E4),Fat_Nov[Base])+
SUMIF(Fat_Dez[Descrição],_xlfn.ANCHORARRAY(E4),Fat_Dez[Base])</f>
        <v>0</v>
      </c>
    </row>
    <row r="5" spans="1:9" ht="21" customHeight="1">
      <c r="B5" s="97" t="s">
        <v>160</v>
      </c>
      <c r="C5" s="98">
        <v>50000</v>
      </c>
      <c r="E5" s="70"/>
      <c r="F5" s="99"/>
    </row>
    <row r="6" spans="1:9" ht="21" customHeight="1">
      <c r="B6" s="95" t="s">
        <v>159</v>
      </c>
      <c r="C6" s="96">
        <v>0.35</v>
      </c>
      <c r="E6" s="70"/>
      <c r="F6" s="99"/>
    </row>
    <row r="7" spans="1:9" ht="21" customHeight="1">
      <c r="B7" s="97" t="s">
        <v>160</v>
      </c>
      <c r="C7" s="98">
        <v>0</v>
      </c>
      <c r="E7" s="70"/>
      <c r="F7" s="99"/>
    </row>
    <row r="8" spans="1:9" ht="21" customHeight="1">
      <c r="B8" s="95" t="s">
        <v>159</v>
      </c>
      <c r="C8" s="96">
        <v>0.15</v>
      </c>
      <c r="D8" s="176"/>
    </row>
    <row r="9" spans="1:9" ht="21" customHeight="1">
      <c r="B9" s="97" t="s">
        <v>160</v>
      </c>
      <c r="C9" s="98">
        <f>'Seg. Social Produtos'!C8+'Seg. Social Produtos'!F8+'Seg. Social Produtos'!I8+'Seg. Social Produtos'!L8</f>
        <v>0</v>
      </c>
      <c r="D9" s="176"/>
    </row>
    <row r="10" spans="1:9" ht="24" customHeight="1">
      <c r="E10" s="277" t="s">
        <v>161</v>
      </c>
      <c r="F10" s="277"/>
    </row>
    <row r="11" spans="1:9" ht="24" customHeight="1">
      <c r="B11" s="200" t="s">
        <v>162</v>
      </c>
      <c r="C11" s="201">
        <v>250</v>
      </c>
      <c r="E11" s="92" t="s">
        <v>161</v>
      </c>
      <c r="F11" s="100">
        <v>0</v>
      </c>
    </row>
    <row r="12" spans="1:9" ht="24" customHeight="1">
      <c r="B12" s="200" t="s">
        <v>129</v>
      </c>
      <c r="C12" s="201">
        <f>+Balanço!J16</f>
        <v>74.796000000000006</v>
      </c>
      <c r="E12" s="92" t="s">
        <v>163</v>
      </c>
      <c r="F12" s="101">
        <f>IF(((C5+C7)*0.15)&lt;Auxiliar1!D28,0,((C5+C7)*0.15)-Auxiliar1!D43)</f>
        <v>3037.8500000000004</v>
      </c>
    </row>
    <row r="13" spans="1:9" ht="24" customHeight="1">
      <c r="E13" s="92" t="s">
        <v>164</v>
      </c>
      <c r="F13" s="101">
        <f>IF(F11&lt;F12,F12-F11,0)</f>
        <v>3037.8500000000004</v>
      </c>
      <c r="H13" s="134"/>
    </row>
    <row r="14" spans="1:9" ht="24" customHeight="1"/>
    <row r="15" spans="1:9" ht="30" customHeight="1">
      <c r="B15" s="278" t="s">
        <v>179</v>
      </c>
      <c r="C15" s="279"/>
      <c r="D15" s="279"/>
      <c r="E15" s="279"/>
      <c r="F15" s="279"/>
    </row>
    <row r="16" spans="1:9" ht="24" customHeight="1">
      <c r="B16" s="26" t="s">
        <v>166</v>
      </c>
      <c r="C16" s="61">
        <f>+C4*C5+C6*C7+C8*C9+F13</f>
        <v>40537.85</v>
      </c>
      <c r="D16" s="19"/>
      <c r="E16" s="67"/>
      <c r="F16" s="68"/>
      <c r="G16" s="19"/>
      <c r="H16" s="19"/>
      <c r="I16" s="19"/>
    </row>
    <row r="17" spans="2:9" ht="24" customHeight="1">
      <c r="B17" s="26" t="s">
        <v>167</v>
      </c>
      <c r="C17" s="27">
        <v>0</v>
      </c>
      <c r="D17" s="19"/>
      <c r="E17" s="274" t="s">
        <v>168</v>
      </c>
      <c r="F17" s="275"/>
      <c r="G17" s="19"/>
      <c r="H17" s="19"/>
      <c r="I17" s="19"/>
    </row>
    <row r="18" spans="2:9" ht="24" customHeight="1">
      <c r="B18" s="102" t="s">
        <v>59</v>
      </c>
      <c r="C18" s="103">
        <f>+C16-C17</f>
        <v>40537.85</v>
      </c>
      <c r="D18" s="19"/>
      <c r="E18" s="105" t="s">
        <v>129</v>
      </c>
      <c r="F18" s="106">
        <f>C12</f>
        <v>74.796000000000006</v>
      </c>
      <c r="G18" s="19"/>
      <c r="H18" s="19"/>
      <c r="I18" s="19"/>
    </row>
    <row r="19" spans="2:9" ht="24" customHeight="1">
      <c r="B19" s="26" t="s">
        <v>60</v>
      </c>
      <c r="C19" s="28">
        <f>INDEX(Auxiliar1!D46:D54,MATCH(C18,Auxiliar1!B46:B54,1),1)</f>
        <v>0.35499999999999998</v>
      </c>
      <c r="D19" s="19"/>
      <c r="E19" s="107" t="s">
        <v>169</v>
      </c>
      <c r="F19" s="108">
        <f>+IF(F18&gt;C24,F18-C24,0)</f>
        <v>0</v>
      </c>
      <c r="G19" s="19"/>
      <c r="H19" s="19"/>
      <c r="I19" s="19"/>
    </row>
    <row r="20" spans="2:9" ht="24" customHeight="1">
      <c r="B20" s="26" t="s">
        <v>170</v>
      </c>
      <c r="C20" s="27">
        <f>+C18*C19</f>
        <v>14390.936749999999</v>
      </c>
      <c r="D20" s="19"/>
      <c r="E20" s="109" t="s">
        <v>171</v>
      </c>
      <c r="F20" s="110">
        <f>+IF(F18&lt;C24,C24-F18,0)</f>
        <v>10043.000749999999</v>
      </c>
      <c r="G20" s="19"/>
      <c r="H20" s="19"/>
      <c r="I20" s="19"/>
    </row>
    <row r="21" spans="2:9" ht="24" customHeight="1">
      <c r="B21" s="26" t="s">
        <v>172</v>
      </c>
      <c r="C21" s="27">
        <f>INDEX(Auxiliar1!E46:E54,MATCH(C18,Auxiliar1!B46:B54,1),1)</f>
        <v>4023.14</v>
      </c>
      <c r="D21" s="19"/>
      <c r="E21"/>
      <c r="F21"/>
      <c r="H21" s="19"/>
      <c r="I21" s="19"/>
    </row>
    <row r="22" spans="2:9" ht="24" customHeight="1">
      <c r="B22" s="102" t="s">
        <v>173</v>
      </c>
      <c r="C22" s="103">
        <f>+C20-C21</f>
        <v>10367.79675</v>
      </c>
      <c r="D22" s="20"/>
      <c r="E22" s="26" t="s">
        <v>174</v>
      </c>
      <c r="F22" s="104">
        <f>+C22/(C5+C7+C9)</f>
        <v>0.20735593499999999</v>
      </c>
      <c r="H22" s="19"/>
      <c r="I22" s="19"/>
    </row>
    <row r="23" spans="2:9" ht="24" customHeight="1">
      <c r="B23" s="26" t="s">
        <v>175</v>
      </c>
      <c r="C23" s="27">
        <f>+C11</f>
        <v>250</v>
      </c>
      <c r="D23" s="19"/>
      <c r="E23" s="26" t="s">
        <v>176</v>
      </c>
      <c r="F23" s="27">
        <f>+C24/12</f>
        <v>843.14972916666659</v>
      </c>
      <c r="H23" s="19"/>
      <c r="I23" s="19"/>
    </row>
    <row r="24" spans="2:9" ht="24" customHeight="1">
      <c r="B24" s="102" t="s">
        <v>177</v>
      </c>
      <c r="C24" s="103">
        <f>+C22-C23</f>
        <v>10117.79675</v>
      </c>
      <c r="E24" s="67"/>
      <c r="F24" s="68"/>
      <c r="G24" s="19"/>
      <c r="H24" s="19"/>
      <c r="I24" s="19"/>
    </row>
    <row r="25" spans="2:9" ht="20.25" customHeight="1">
      <c r="E25" s="67"/>
      <c r="F25" s="68"/>
      <c r="G25" s="19"/>
      <c r="H25" s="19"/>
      <c r="I25" s="19"/>
    </row>
    <row r="26" spans="2:9" ht="20.25" customHeight="1">
      <c r="E26" s="67"/>
      <c r="F26" s="68"/>
      <c r="G26" s="19"/>
      <c r="H26" s="19"/>
      <c r="I26" s="19"/>
    </row>
    <row r="27" spans="2:9" ht="20.25" customHeight="1">
      <c r="E27" s="67"/>
      <c r="F27" s="68"/>
      <c r="G27" s="19"/>
      <c r="H27" s="19"/>
      <c r="I27" s="19"/>
    </row>
    <row r="28" spans="2:9" ht="14.25" customHeight="1"/>
    <row r="29" spans="2:9" ht="14.25" customHeight="1"/>
    <row r="30" spans="2:9" ht="14.25" customHeight="1"/>
    <row r="31" spans="2:9" ht="14.25" customHeight="1"/>
    <row r="32" spans="2:9" ht="14.25" customHeight="1">
      <c r="C32" s="22"/>
    </row>
    <row r="33" spans="3:3" ht="14.25" customHeight="1">
      <c r="C33" s="22"/>
    </row>
    <row r="34" spans="3:3" ht="14.25" customHeight="1">
      <c r="C34" s="22"/>
    </row>
    <row r="35" spans="3:3" ht="14.25" customHeight="1">
      <c r="C35" s="22"/>
    </row>
    <row r="36" spans="3:3" ht="14.25" customHeight="1"/>
    <row r="37" spans="3:3" ht="14.25" customHeight="1"/>
    <row r="38" spans="3:3" ht="14.25" customHeight="1"/>
    <row r="39" spans="3:3" ht="14.25" customHeight="1"/>
    <row r="40" spans="3:3" ht="14.25" customHeight="1"/>
    <row r="41" spans="3:3" ht="14.25" customHeight="1"/>
    <row r="42" spans="3:3" ht="14.25" customHeight="1"/>
    <row r="43" spans="3:3" ht="14.25" customHeight="1"/>
    <row r="44" spans="3:3" ht="14.25" customHeight="1"/>
    <row r="45" spans="3:3" ht="14.25" customHeight="1"/>
    <row r="46" spans="3:3" ht="14.25" customHeight="1"/>
    <row r="47" spans="3:3" ht="14.25" customHeight="1"/>
    <row r="48" spans="3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5">
    <mergeCell ref="B1:F1"/>
    <mergeCell ref="B3:C3"/>
    <mergeCell ref="E10:F10"/>
    <mergeCell ref="B15:F15"/>
    <mergeCell ref="E17:F17"/>
  </mergeCells>
  <pageMargins left="0.7" right="0.7" top="0.75" bottom="0.75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8E37-59EE-4BD7-BAED-72B60D7C622E}">
  <sheetPr codeName="Folha23">
    <tabColor theme="9" tint="-0.249977111117893"/>
  </sheetPr>
  <dimension ref="Y1:AH28"/>
  <sheetViews>
    <sheetView showGridLines="0" zoomScale="90" zoomScaleNormal="90" workbookViewId="0">
      <selection activeCell="AC19" sqref="AC19"/>
    </sheetView>
  </sheetViews>
  <sheetFormatPr defaultColWidth="8.88671875" defaultRowHeight="14.4"/>
  <cols>
    <col min="25" max="26" width="8.88671875" style="176" customWidth="1"/>
    <col min="27" max="27" width="9.109375" style="176" customWidth="1"/>
    <col min="28" max="28" width="16.109375" style="121" customWidth="1"/>
    <col min="29" max="29" width="10.88671875" style="122" customWidth="1"/>
    <col min="30" max="30" width="10.44140625" style="176" customWidth="1"/>
    <col min="31" max="31" width="17.6640625" style="176" customWidth="1"/>
    <col min="32" max="32" width="10.44140625" style="177" customWidth="1"/>
  </cols>
  <sheetData>
    <row r="1" spans="25:33">
      <c r="Y1" s="177"/>
      <c r="Z1" s="177"/>
      <c r="AA1" s="177"/>
      <c r="AB1" s="180" t="s">
        <v>180</v>
      </c>
      <c r="AC1" s="181" t="s">
        <v>181</v>
      </c>
      <c r="AD1" s="177"/>
      <c r="AE1" s="177"/>
    </row>
    <row r="2" spans="25:33">
      <c r="Y2" s="177" t="s">
        <v>131</v>
      </c>
      <c r="Z2" s="177">
        <v>8</v>
      </c>
      <c r="AA2" s="177" t="s">
        <v>72</v>
      </c>
      <c r="AB2" s="182" cm="1">
        <f t="array" aca="1" ref="AB2" ca="1">INDIRECT("'"&amp;Z2&amp;"'!E5")</f>
        <v>2422.5</v>
      </c>
      <c r="AC2" s="183">
        <f>Balanço!F16</f>
        <v>27400</v>
      </c>
      <c r="AD2" s="177"/>
      <c r="AE2" s="177" t="s">
        <v>182</v>
      </c>
      <c r="AF2" s="177" t="str">
        <f>IF(Z16="1ºTrim",TEXT(Auxiliar1!C5,"dd/mm/aaa"),IF(Z16="2ºTrim",TEXT(Auxiliar1!C6,"dd/mm/aaa"),IF(Z16="3ºTrim",TEXT(Auxiliar1!C7,"dd/mm/aaa"),TEXT(Auxiliar1!C8,"dd/mm/aaa"))))</f>
        <v>31/10/2024</v>
      </c>
    </row>
    <row r="3" spans="25:33">
      <c r="Y3" s="177" t="s">
        <v>132</v>
      </c>
      <c r="Z3" s="177"/>
      <c r="AA3" s="177" t="s">
        <v>4</v>
      </c>
      <c r="AB3" s="182" cm="1">
        <f t="array" aca="1" ref="AB3" ca="1">INDIRECT("'"&amp;Z2&amp;"'!i5")</f>
        <v>0</v>
      </c>
      <c r="AC3" s="183">
        <f>Balanço!G16</f>
        <v>9097.7839999999997</v>
      </c>
      <c r="AD3" s="177"/>
      <c r="AE3" s="177" t="s">
        <v>183</v>
      </c>
      <c r="AF3" s="184" t="b">
        <f ca="1">IF(TODAY()&lt;=Auxiliar1!C12,Auxiliar1!C12,IF(TODAY()&lt;=Auxiliar1!C13,Auxiliar1!C13,IF(TODAY()&lt;=Auxiliar1!C14,Auxiliar1!C14,IF(TODAY()&lt;=Auxiliar1!D12,Auxiliar1!D12,IF(TODAY()&lt;=Auxiliar1!D13,Auxiliar1!D13,IF(TODAY()&lt;=Auxiliar1!D14,Auxiliar1!D14,IF(TODAY()&lt;=Auxiliar1!E12,Auxiliar1!E12,IF(TODAY()&lt;=Auxiliar1!E13,Auxiliar1!E13,IF(TODAY()&lt;=Auxiliar1!E14,Auxiliar1!E14,IF(TODAY()&lt;=Auxiliar1!F12,Auxiliar1!F12,IF(TODAY()&lt;=Auxiliar1!F13,Auxiliar1!F13,IF(TODAY()&lt;=Auxiliar1!F14,Auxiliar1!F14))))))))))))</f>
        <v>0</v>
      </c>
      <c r="AG3" s="176"/>
    </row>
    <row r="4" spans="25:33">
      <c r="Y4" s="177" t="s">
        <v>133</v>
      </c>
      <c r="Z4" s="177"/>
      <c r="AA4" s="177" t="s">
        <v>184</v>
      </c>
      <c r="AB4" s="182">
        <f>IF(Z2=1,'Seg. Social'!C12,IF(Z2=2,'Seg. Social'!C13,IF(Z2=3,'Seg. Social'!C14,IF(Z2=4,'Seg. Social'!F12,IF(Z2=5,'Seg. Social'!F13,IF(Z2=6,'Seg. Social'!F14,IF(Z2=7,'Seg. Social'!I12,IF(Z2=8,'Seg. Social'!I13,IF(Z2=9,'Seg. Social'!I14,IF(Z2=10,'Seg. Social'!L12,IF(Z2=11,'Seg. Social'!L13,IF(Z2=12,'Seg. Social'!L14))))))))))))</f>
        <v>519.24296666666658</v>
      </c>
      <c r="AC4" s="183">
        <f>'Seg. Social'!C12+'Seg. Social'!F12+'Seg. Social'!I12+'Seg. Social'!L12</f>
        <v>1639.0565333333332</v>
      </c>
      <c r="AD4" s="177"/>
      <c r="AE4" s="177" t="s">
        <v>185</v>
      </c>
      <c r="AF4" s="177" t="str">
        <f>IF(Z16="1ºTrim",TEXT(Auxiliar1!C23,"dd/mm/aaa"),IF(Z16="2ºTrim",TEXT(Auxiliar1!C24,"dd/mm/aaa"),IF(Z16="3ºTrim",TEXT(Auxiliar1!C25,"dd/mm/aaa"),TEXT(Auxiliar1!C26,"dd/mm/aaa"))))</f>
        <v>20/11/2025</v>
      </c>
      <c r="AG4" s="176"/>
    </row>
    <row r="5" spans="25:33">
      <c r="Y5" s="177" t="s">
        <v>135</v>
      </c>
      <c r="Z5" s="177"/>
      <c r="AA5" s="177" t="s">
        <v>186</v>
      </c>
      <c r="AB5" s="182">
        <f>IF(Z2=1,IVA!C5,IF(Z2=2,IVA!C6,IF(Z2=3,IVA!C7,IF(Z2=4,IVA!G5,IF(Z2=5,IVA!G6,IF(Z2=6,IVA!G7,IF(Z2=7,IVA!K5,IF(Z2=8,IVA!K6,IF(Z2=9,IVA!K7,IF(Z2=10,IVA!O5,IF(Z2=11,IVA!O6,IF(Z2=12,IVA!O7))))))))))))</f>
        <v>0</v>
      </c>
      <c r="AC5" s="183">
        <v>0</v>
      </c>
      <c r="AD5" s="177"/>
      <c r="AE5" s="177" t="s">
        <v>187</v>
      </c>
      <c r="AF5" s="177" t="str">
        <f>IF(Z16="1ºTrim",TEXT(Auxiliar1!D23,"dd/mm/aaa"),IF(Z16="2ºTrim",TEXT(Auxiliar1!D24,"dd/mm/aaa"),IF(Z16="3ºTrim",TEXT(Auxiliar1!D25,"dd/mm/aaa"),TEXT(Auxiliar1!D26,"dd/mm/aaa"))))</f>
        <v>25/11/2025</v>
      </c>
      <c r="AG5" s="176"/>
    </row>
    <row r="6" spans="25:33">
      <c r="Y6" s="177" t="s">
        <v>136</v>
      </c>
      <c r="Z6" s="177"/>
      <c r="AA6" s="177" t="s">
        <v>188</v>
      </c>
      <c r="AB6" s="182">
        <f>IF(Z2=1,IVA!D5,IF(Z2=2,IVA!D6,IF(Z2=3,IVA!D7,IF(Z2=4,IVA!H5,IF(Z2=5,IVA!H6,IF(Z2=6,IVA!H7,IF(Z2=7,IVA!L5,IF(Z2=8,IVA!L6,IF(Z2=9,IVA!L7,IF(Z2=10,IVA!P5,IF(Z2=11,IVA!P6,IF(Z2=12,IVA!P7))))))))))))</f>
        <v>0</v>
      </c>
      <c r="AC6" s="183">
        <f>+IVA!D10+IVA!H10+IVA!L10+IVA!P10</f>
        <v>23.46</v>
      </c>
      <c r="AD6" s="177"/>
      <c r="AE6" s="177"/>
      <c r="AG6" s="176"/>
    </row>
    <row r="7" spans="25:33">
      <c r="Y7" s="177" t="s">
        <v>137</v>
      </c>
      <c r="Z7" s="177"/>
      <c r="AA7" s="177"/>
      <c r="AB7" s="182">
        <f>+AB5-AB6</f>
        <v>0</v>
      </c>
      <c r="AC7" s="183"/>
      <c r="AD7" s="177"/>
      <c r="AE7" s="177"/>
      <c r="AG7" s="176"/>
    </row>
    <row r="8" spans="25:33">
      <c r="Y8" s="177" t="s">
        <v>139</v>
      </c>
      <c r="Z8" s="177"/>
      <c r="AA8" s="177"/>
      <c r="AB8" s="182"/>
      <c r="AC8" s="183"/>
      <c r="AD8" s="177"/>
      <c r="AE8" s="177"/>
      <c r="AG8" s="176"/>
    </row>
    <row r="9" spans="25:33">
      <c r="Y9" s="177" t="s">
        <v>140</v>
      </c>
      <c r="Z9" s="177"/>
      <c r="AA9" s="177"/>
      <c r="AB9" s="182"/>
      <c r="AC9" s="183"/>
      <c r="AD9" s="177"/>
      <c r="AE9" s="177"/>
      <c r="AG9" s="176"/>
    </row>
    <row r="10" spans="25:33">
      <c r="Y10" s="177" t="s">
        <v>141</v>
      </c>
      <c r="Z10" s="177"/>
      <c r="AA10" s="177"/>
      <c r="AB10" s="182"/>
      <c r="AC10" s="183"/>
      <c r="AD10" s="177"/>
      <c r="AE10" s="177"/>
      <c r="AG10" s="176"/>
    </row>
    <row r="11" spans="25:33">
      <c r="Y11" s="177" t="s">
        <v>143</v>
      </c>
      <c r="Z11" s="177"/>
      <c r="AA11" s="177"/>
      <c r="AB11" s="182"/>
      <c r="AC11" s="183"/>
      <c r="AD11" s="177"/>
      <c r="AE11" s="177"/>
      <c r="AG11" s="176"/>
    </row>
    <row r="12" spans="25:33">
      <c r="Y12" s="177" t="s">
        <v>144</v>
      </c>
      <c r="Z12" s="177"/>
      <c r="AA12" s="177"/>
      <c r="AB12" s="182"/>
      <c r="AC12" s="183"/>
      <c r="AD12" s="177"/>
      <c r="AE12" s="177"/>
      <c r="AG12" s="176"/>
    </row>
    <row r="13" spans="25:33">
      <c r="Y13" s="177" t="s">
        <v>145</v>
      </c>
      <c r="Z13" s="177"/>
      <c r="AA13" s="177"/>
      <c r="AB13" s="182"/>
      <c r="AC13" s="183"/>
      <c r="AD13" s="177"/>
      <c r="AE13" s="177"/>
      <c r="AG13" s="176"/>
    </row>
    <row r="14" spans="25:33">
      <c r="Y14" s="177"/>
      <c r="Z14" s="177"/>
      <c r="AA14" s="177"/>
      <c r="AB14" s="182"/>
      <c r="AC14" s="183"/>
      <c r="AD14" s="177"/>
      <c r="AE14" s="177"/>
      <c r="AG14" s="176"/>
    </row>
    <row r="15" spans="25:33">
      <c r="Y15" s="177"/>
      <c r="Z15" s="177"/>
      <c r="AA15" s="177"/>
      <c r="AB15" s="185" t="s">
        <v>189</v>
      </c>
      <c r="AC15" s="186" t="s">
        <v>190</v>
      </c>
      <c r="AD15" s="177"/>
      <c r="AE15" s="177"/>
    </row>
    <row r="16" spans="25:33">
      <c r="Y16" s="177"/>
      <c r="Z16" s="177" t="str">
        <f>IF(Z2&lt;=3,"1ºTrim",IF(Z2&lt;=6,"2ºTrim",IF(Z2&lt;=9,"3ºtrim","4ºTrim")))</f>
        <v>3ºtrim</v>
      </c>
      <c r="AA16" s="177"/>
      <c r="AB16" s="187">
        <f>IF(Z16="1ºTrim",Auxiliar1!C23,IF(Z16="2ºTrim",Auxiliar1!C24,IF(Z16="3ºTrim",Auxiliar1!C25,IF(Z16="4ºTrim",Auxiliar1!C26))))</f>
        <v>45981</v>
      </c>
      <c r="AC16" s="188">
        <f>IF(Z16="1ºTrim",Auxiliar1!D23,IF(Z16="2ºTrim",Auxiliar1!D24,IF(Z16="3ºTrim",Auxiliar1!D25,IF(Z16="4ºTrim",Auxiliar1!D26))))</f>
        <v>45986</v>
      </c>
      <c r="AD16" s="177"/>
      <c r="AE16" s="177"/>
    </row>
    <row r="17" spans="25:34">
      <c r="Y17" s="177"/>
      <c r="Z17" s="177"/>
      <c r="AA17" s="177"/>
      <c r="AB17" s="182"/>
      <c r="AC17" s="183"/>
      <c r="AD17" s="177"/>
      <c r="AE17" s="177"/>
    </row>
    <row r="18" spans="25:34">
      <c r="Y18" s="177"/>
      <c r="Z18" s="177"/>
      <c r="AA18" s="177"/>
      <c r="AB18" s="182" t="s">
        <v>191</v>
      </c>
      <c r="AC18" s="189" t="s">
        <v>46</v>
      </c>
      <c r="AD18" s="177"/>
      <c r="AE18" s="177" t="s">
        <v>192</v>
      </c>
    </row>
    <row r="19" spans="25:34">
      <c r="Y19" s="177"/>
      <c r="Z19" s="177"/>
      <c r="AA19" s="177"/>
      <c r="AB19" s="187">
        <f>IF(Z16="1ºTrim",Auxiliar1!C5,IF(Z16="2ºTrim",Auxiliar1!C6,IF(Z16="3ºTrim",Auxiliar1!C7,Auxiliar1!C8)))</f>
        <v>45596</v>
      </c>
      <c r="AC19" s="183" t="s">
        <v>193</v>
      </c>
      <c r="AD19" s="184">
        <f>+VLOOKUP(Z2,Auxiliar1!H17:J29,2)</f>
        <v>45874</v>
      </c>
      <c r="AE19" s="183" t="s">
        <v>194</v>
      </c>
      <c r="AF19" s="184">
        <f>+VLOOKUP(Z2,Auxiliar1!H17:J29,3)</f>
        <v>45889</v>
      </c>
    </row>
    <row r="20" spans="25:34">
      <c r="AE20" s="183" t="s">
        <v>195</v>
      </c>
      <c r="AF20" s="184">
        <f>+VLOOKUP(Z2,Auxiliar1!H17:K29,4)</f>
        <v>0</v>
      </c>
    </row>
    <row r="21" spans="25:34">
      <c r="AE21" s="177"/>
    </row>
    <row r="28" spans="25:34">
      <c r="AH28" s="176"/>
    </row>
  </sheetData>
  <phoneticPr fontId="22" type="noConversion"/>
  <pageMargins left="0.7" right="0.7" top="0.75" bottom="0.75" header="0.3" footer="0.3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3" name="Drop Down 1">
              <controlPr defaultSize="0" autoLine="0" autoPict="0">
                <anchor moveWithCells="1">
                  <from>
                    <xdr:col>3</xdr:col>
                    <xdr:colOff>99060</xdr:colOff>
                    <xdr:row>6</xdr:row>
                    <xdr:rowOff>53340</xdr:rowOff>
                  </from>
                  <to>
                    <xdr:col>5</xdr:col>
                    <xdr:colOff>266700</xdr:colOff>
                    <xdr:row>7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f1745143-5b3f-47c4-9c74-99ed59eb9014}" enabled="1" method="Standard" siteId="{34e65771-3eb3-4479-b910-a601768563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23</vt:i4>
      </vt:variant>
      <vt:variant>
        <vt:lpstr>Intervalos com Nome</vt:lpstr>
      </vt:variant>
      <vt:variant>
        <vt:i4>8</vt:i4>
      </vt:variant>
    </vt:vector>
  </HeadingPairs>
  <TitlesOfParts>
    <vt:vector size="31" baseType="lpstr">
      <vt:lpstr>Painel</vt:lpstr>
      <vt:lpstr>Dados</vt:lpstr>
      <vt:lpstr>Auxiliar1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Balanço</vt:lpstr>
      <vt:lpstr>Seg. Social Produtos</vt:lpstr>
      <vt:lpstr>Seg. Social Serviços</vt:lpstr>
      <vt:lpstr>Seg. Social</vt:lpstr>
      <vt:lpstr>IVA</vt:lpstr>
      <vt:lpstr>IRS-2024</vt:lpstr>
      <vt:lpstr>IRS-2025</vt:lpstr>
      <vt:lpstr>Dashboard</vt:lpstr>
      <vt:lpstr>'IRS-2025'!Filtro_Desp</vt:lpstr>
      <vt:lpstr>Filtro_Desp</vt:lpstr>
      <vt:lpstr>'IRS-2025'!Filtro_Pag</vt:lpstr>
      <vt:lpstr>Filtro_Pag</vt:lpstr>
      <vt:lpstr>'IRS-2025'!Produtos</vt:lpstr>
      <vt:lpstr>Produtos</vt:lpstr>
      <vt:lpstr>'IRS-2025'!Serviços</vt:lpstr>
      <vt:lpstr>Serviços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Jéssica Brandão</dc:creator>
  <cp:keywords/>
  <dc:description/>
  <cp:lastModifiedBy>Bárbara</cp:lastModifiedBy>
  <cp:revision/>
  <dcterms:created xsi:type="dcterms:W3CDTF">2023-09-18T10:52:45Z</dcterms:created>
  <dcterms:modified xsi:type="dcterms:W3CDTF">2026-01-11T12:46:41Z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0x010100AAC2846BC0E0BA48B92A0AEE2D0AD696</vt:lpwstr>
  </property>
</Properties>
</file>